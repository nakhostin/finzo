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-1405" sheetId="1" r:id="rId5"/>
    <sheet state="visible" name="template" sheetId="2" r:id="rId6"/>
    <sheet state="visible" name="بدهی های سینا" sheetId="3" r:id="rId7"/>
    <sheet state="visible" name="Buy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tc={2b934026-5ce6-43ce-b18c-558e7aefbc64}</author>
    <author>tc={3e08c4cf-451a-43e5-8448-fd45f7d45689}</author>
    <author>tc={8cf30208-2761-46f5-bdcc-568966da3455}</author>
    <author>tc={a802397b-a9e3-4a92-9868-d1dc0e2cda4e}</author>
    <author>tc={ae5d71bf-1a96-42d9-b8ab-93ef128a6a3f}</author>
    <author>tc={f49d4b0b-b171-4e00-a92d-f1f7d1cb36a6}</author>
    <author>tc={f81a761c-fb57-48c1-b99d-23607e10bc8f}</author>
  </authors>
  <commentList>
    <comment authorId="0" xr:uid="{2b934026-5ce6-43ce-b18c-558e7aefbc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 شد
</t>
      </text>
    </comment>
    <comment authorId="1" xr:uid="{3e08c4cf-451a-43e5-8448-fd45f7d45689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این اقساط در باکس بلوبانک ذخیره شدند.
315,500,000 Rial
</t>
      </text>
    </comment>
    <comment authorId="2" xr:uid="{8cf30208-2761-46f5-bdcc-568966da34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 شد
</t>
      </text>
    </comment>
    <comment authorId="3" xr:uid="{a802397b-a9e3-4a92-9868-d1dc0e2cda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پروژه پاکان
</t>
      </text>
    </comment>
    <comment authorId="4" xr:uid="{ae5d71bf-1a96-42d9-b8ab-93ef128a6a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بدهی بابا
</t>
      </text>
    </comment>
    <comment authorId="5" xr:uid="{f49d4b0b-b171-4e00-a92d-f1f7d1cb36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 شد
</t>
      </text>
    </comment>
    <comment authorId="6" xr:uid="{f81a761c-fb57-48c1-b99d-23607e10bc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 شد
</t>
      </text>
    </comment>
  </commentList>
</comments>
</file>

<file path=xl/sharedStrings.xml><?xml version="1.0" encoding="utf-8"?>
<sst xmlns="http://schemas.openxmlformats.org/spreadsheetml/2006/main" count="412" uniqueCount="51">
  <si>
    <t>عنوان</t>
  </si>
  <si>
    <t>تاریخ</t>
  </si>
  <si>
    <t>اولویت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</si>
  <si>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</si>
  <si>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</si>
  <si>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</si>
  <si>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</si>
  <si>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</si>
  <si>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</si>
  <si>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</si>
  <si>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</si>
  <si>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</si>
  <si>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</si>
  <si>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</si>
  <si>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مجموع</t>
  </si>
  <si>
    <t>اجاره خونه</t>
  </si>
  <si>
    <t>خرجی مهدیه</t>
  </si>
  <si>
    <t xml:space="preserve"> وام بانک ملی - بابا مهدیه</t>
  </si>
  <si>
    <t>دیجی پی خودم</t>
  </si>
  <si>
    <t xml:space="preserve"> دیجی پی مهدیه</t>
  </si>
  <si>
    <t>وام برآیند چک یار ویپاد</t>
  </si>
  <si>
    <t>وام بانک ملی 2321</t>
  </si>
  <si>
    <t>وام ازدواج</t>
  </si>
  <si>
    <t>تارا - مهدیه</t>
  </si>
  <si>
    <t xml:space="preserve">وام بانک ملی 1401 </t>
  </si>
  <si>
    <t>وام اسنپ</t>
  </si>
  <si>
    <t>وام دیجی شهر</t>
  </si>
  <si>
    <t>بلوبانک</t>
  </si>
  <si>
    <t>وام سینا</t>
  </si>
  <si>
    <t>وام بانک ملی 9311</t>
  </si>
  <si>
    <t>اجاره خونه سینا</t>
  </si>
  <si>
    <t>وام بانک ملت - مامان</t>
  </si>
  <si>
    <t>حقوق دیجی کالا</t>
  </si>
  <si>
    <t>سایر درآمد ها 1</t>
  </si>
  <si>
    <t>سایر درآمد ها 2</t>
  </si>
  <si>
    <t>مجموع بدهی</t>
  </si>
  <si>
    <t>مجموع درآمد</t>
  </si>
  <si>
    <t>مانده حساب</t>
  </si>
  <si>
    <t>پس انداز کل</t>
  </si>
  <si>
    <t>خرجی</t>
  </si>
  <si>
    <t>ماه/عنوان</t>
  </si>
  <si>
    <t>فروردین</t>
  </si>
  <si>
    <t>-</t>
  </si>
  <si>
    <t>حقوق اشترنیکس</t>
  </si>
  <si>
    <t>سایر درآمد ها</t>
  </si>
  <si>
    <t>پول پیش خانه</t>
  </si>
  <si>
    <t>قرض</t>
  </si>
  <si>
    <t>بابت اجاره</t>
  </si>
  <si>
    <t>مقدار</t>
  </si>
  <si>
    <t>قیمت</t>
  </si>
  <si>
    <t>وضعیت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</si>
</sst>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[$Rial]"/>
  </numFmts>
  <fonts count="6">
    <font>
      <sz val="10.0"/>
      <color rgb="FF000000"/>
      <name val="Arial"/>
      <scheme val="minor"/>
    </font>
    <font>
      <b/>
      <sz val="16.0"/>
      <color theme="1"/>
      <name val="Vazirmatn"/>
    </font>
    <font>
      <b/>
      <sz val="16.0"/>
      <color rgb="FFFFFFFF"/>
      <name val="Vazirmatn"/>
    </font>
    <font>
      <sz val="16.0"/>
      <color theme="1"/>
      <name val="Vazirmatn"/>
    </font>
    <font>
      <strike/>
      <sz val="16.0"/>
      <color theme="1"/>
      <name val="Vazirmatn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6" fontId="4" numFmtId="164" xfId="0" applyAlignment="1" applyBorder="1" applyFill="1" applyFont="1" applyNumberFormat="1">
      <alignment horizontal="center" readingOrder="0" shrinkToFit="0" vertical="center" wrapText="0"/>
    </xf>
    <xf borderId="1" fillId="7" fontId="4" numFmtId="164" xfId="0" applyAlignment="1" applyBorder="1" applyFill="1" applyFont="1" applyNumberFormat="1">
      <alignment horizontal="center" readingOrder="0" shrinkToFit="0" vertical="center" wrapText="0"/>
    </xf>
    <xf borderId="1" fillId="6" fontId="3" numFmtId="164" xfId="0" applyAlignment="1" applyBorder="1" applyFont="1" applyNumberFormat="1">
      <alignment horizontal="center" shrinkToFit="0" vertical="center" wrapText="0"/>
    </xf>
    <xf borderId="1" fillId="7" fontId="3" numFmtId="164" xfId="0" applyAlignment="1" applyBorder="1" applyFont="1" applyNumberFormat="1">
      <alignment horizontal="center" shrinkToFit="0" vertical="center" wrapText="0"/>
    </xf>
    <xf borderId="1" fillId="7" fontId="3" numFmtId="164" xfId="0" applyAlignment="1" applyBorder="1" applyFont="1" applyNumberFormat="1">
      <alignment horizontal="center" readingOrder="0" shrinkToFit="0" vertical="center" wrapText="0"/>
    </xf>
    <xf borderId="1" fillId="6" fontId="3" numFmtId="164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ill="1" applyFont="1">
      <alignment horizontal="center" readingOrder="0" shrinkToFit="0" vertical="center" wrapText="0"/>
    </xf>
    <xf borderId="1" fillId="8" fontId="3" numFmtId="164" xfId="0" applyAlignment="1" applyBorder="1" applyFont="1" applyNumberFormat="1">
      <alignment horizontal="center" readingOrder="0" shrinkToFit="0" vertical="center" wrapText="0"/>
    </xf>
    <xf borderId="1" fillId="9" fontId="3" numFmtId="164" xfId="0" applyAlignment="1" applyBorder="1" applyFill="1" applyFont="1" applyNumberFormat="1">
      <alignment horizontal="center" readingOrder="0" shrinkToFit="0" vertical="center" wrapText="0"/>
    </xf>
    <xf borderId="1" fillId="9" fontId="3" numFmtId="164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center" shrinkToFit="0" vertical="center" wrapText="0"/>
    </xf>
    <xf borderId="1" fillId="8" fontId="3" numFmtId="16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10" fontId="1" numFmtId="0" xfId="0" applyAlignment="1" applyBorder="1" applyFill="1" applyFont="1">
      <alignment horizontal="center" readingOrder="0"/>
    </xf>
    <xf borderId="1" fillId="10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11" fontId="3" numFmtId="0" xfId="0" applyAlignment="1" applyBorder="1" applyFill="1" applyFont="1">
      <alignment horizontal="center"/>
    </xf>
    <xf borderId="1" fillId="7" fontId="3" numFmtId="164" xfId="0" applyAlignment="1" applyBorder="1" applyFont="1" applyNumberFormat="1">
      <alignment horizontal="center"/>
    </xf>
    <xf borderId="1" fillId="6" fontId="3" numFmtId="16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1" fillId="9" fontId="3" numFmtId="0" xfId="0" applyAlignment="1" applyBorder="1" applyFont="1">
      <alignment horizontal="center"/>
    </xf>
    <xf borderId="1" fillId="9" fontId="3" numFmtId="164" xfId="0" applyAlignment="1" applyBorder="1" applyFont="1" applyNumberFormat="1">
      <alignment horizontal="center"/>
    </xf>
    <xf borderId="1" fillId="8" fontId="3" numFmtId="164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7" fontId="3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7" fontId="3" numFmtId="164" xfId="0" applyAlignment="1" applyBorder="1" applyFont="1" applyNumberFormat="1">
      <alignment horizontal="center" readingOrder="0" shrinkToFit="0" vertical="center" wrapText="0"/>
    </xf>
    <xf borderId="1" fillId="7" fontId="3" numFmtId="49" xfId="0" applyAlignment="1" applyBorder="1" applyFont="1" applyNumberFormat="1">
      <alignment horizontal="center" readingOrder="0" shrinkToFit="0" vertical="center" wrapText="0"/>
    </xf>
    <xf borderId="1" fillId="7" fontId="3" numFmtId="49" xfId="0" applyAlignment="1" applyBorder="1" applyFont="1" applyNumberFormat="1">
      <alignment horizontal="center" readingOrder="0" shrinkToFit="0" vertical="center" wrapText="0"/>
    </xf>
    <xf borderId="1" fillId="7" fontId="3" numFmtId="4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Year-14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ma Nakhostin" id="{01e264c1-04ff-4376-9a6c-6b7665e7ab4e}" providerId="google-sheets"/>
  <x18tc:person displayName="Nima Nakhostin" id="{ba61c2db-ef2e-46da-957d-ee8b6f8533fa}" providerId="google-sheets"/>
</x18tc:personList>
</file>

<file path=xl/tables/table1.xml><?xml version="1.0" encoding="utf-8"?>
<table xmlns="http://schemas.openxmlformats.org/spreadsheetml/2006/main" ref="A1:O29" displayName="Table2" name="Table2" id="1">
  <tableColumns count="15">
    <tableColumn name="عنوان" id="1"/>
    <tableColumn name="تاریخ" id="2"/>
    <tableColumn name="اولویت" id="3"/>
    <tableColumn name="اردیبهشت" id="4"/>
    <tableColumn name="خرداد" id="5"/>
    <tableColumn name="تیر" id="6"/>
    <tableColumn name="مرداد" id="7"/>
    <tableColumn name="شهریور" id="8"/>
    <tableColumn name="مهر" id="9"/>
    <tableColumn name="آبان" id="10"/>
    <tableColumn name="آذر" id="11"/>
    <tableColumn name="دی" id="12"/>
    <tableColumn name="بهمن" id="13"/>
    <tableColumn name="اسفند" id="14"/>
    <tableColumn name="مجموع" id="15"/>
  </tableColumns>
  <tableStyleInfo name="Year-1405-style" showColumnStripes="0" showFirstColumn="1" showLastColumn="1" showRowStripes="1"/>
</table>
</file>

<file path=xl/tables/table2.xml><?xml version="1.0" encoding="utf-8"?>
<table xmlns="http://schemas.openxmlformats.org/spreadsheetml/2006/main" ref="A1:D60" displayName="Table1" name="Table1" id="2">
  <tableColumns count="4">
    <tableColumn name="عنوان" id="1"/>
    <tableColumn name="مقدار" id="2"/>
    <tableColumn name="قیمت" id="3"/>
    <tableColumn name="وضعیت" id="4"/>
  </tableColumns>
  <tableStyleInfo name="Bu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23T08:21:39.00" personId="{01e264c1-04ff-4376-9a6c-6b7665e7ab4e}" id="{ae5d71bf-1a96-42d9-b8ab-93ef128a6a3f}" done="1">
    <x18tc:text xml:space="preserve">بدهی بابا</x18tc:text>
  </x18tc:threadedComment>
  <x18tc:threadedComment ref="A1" dT="2026-02-23T08:22:01.00" personId="{01e264c1-04ff-4376-9a6c-6b7665e7ab4e}" id="{a802397b-a9e3-4a92-9868-d1dc0e2cda4e}" done="1">
    <x18tc:text xml:space="preserve">پروژه پاکان</x18tc:text>
  </x18tc:threadedComment>
  <x18tc:threadedComment ref="A1" dT="2026-04-25T09:48:17.00" personId="{ba61c2db-ef2e-46da-957d-ee8b6f8533fa}" id="{f49d4b0b-b171-4e00-a92d-f1f7d1cb36a6}" done="1">
    <x18tc:text xml:space="preserve">تسویه شد</x18tc:text>
  </x18tc:threadedComment>
  <x18tc:threadedComment ref="D7" dT="2026-05-03T06:51:36.00" personId="{ba61c2db-ef2e-46da-957d-ee8b6f8533fa}" id="{3e08c4cf-451a-43e5-8448-fd45f7d45689}" done="1">
    <x18tc:text xml:space="preserve">این اقساط در باکس بلوبانک ذخیره شدند.
315,500,000 Rial</x18tc:text>
  </x18tc:threadedComment>
  <x18tc:threadedComment ref="A1" dT="2026-04-25T09:51:08.00" personId="{ba61c2db-ef2e-46da-957d-ee8b6f8533fa}" id="{8cf30208-2761-46f5-bdcc-568966da3455}" done="1">
    <x18tc:text xml:space="preserve">تسویه شد</x18tc:text>
  </x18tc:threadedComment>
  <x18tc:threadedComment ref="A1" dT="2026-04-25T09:48:08.00" personId="{ba61c2db-ef2e-46da-957d-ee8b6f8533fa}" id="{2b934026-5ce6-43ce-b18c-558e7aefbc64}" done="1">
    <x18tc:text xml:space="preserve">تسویه شد</x18tc:text>
  </x18tc:threadedComment>
  <x18tc:threadedComment ref="A1" dT="2026-04-25T09:48:37.00" personId="{ba61c2db-ef2e-46da-957d-ee8b6f8533fa}" id="{f81a761c-fb57-48c1-b99d-23607e10bc8f}" done="1">
    <x18tc:text xml:space="preserve">تسویه شد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13"/>
    <col customWidth="1" min="2" max="2" width="14.25"/>
    <col customWidth="1" min="3" max="3" width="12.63"/>
    <col customWidth="1" min="4" max="4" width="25.38"/>
    <col customWidth="1" min="5" max="5" width="25.13"/>
    <col customWidth="1" min="6" max="6" width="25.38"/>
    <col customWidth="1" min="7" max="7" width="25.63"/>
    <col customWidth="1" min="8" max="8" width="25.38"/>
    <col customWidth="1" min="9" max="9" width="25.5"/>
    <col customWidth="1" min="10" max="11" width="25.63"/>
    <col customWidth="1" min="12" max="13" width="25.25"/>
    <col customWidth="1" min="14" max="14" width="25.13"/>
    <col customWidth="1" min="15" max="15" width="25.2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5.75" customHeight="1">
      <c r="A2" s="4" t="s">
        <v>15</v>
      </c>
      <c r="B2" s="5">
        <v>1.0</v>
      </c>
      <c r="C2" s="6">
        <v>1.0</v>
      </c>
      <c r="D2" s="7">
        <v>0.0</v>
      </c>
      <c r="E2" s="8">
        <v>0.0</v>
      </c>
      <c r="F2" s="9">
        <v>1.625E8</v>
      </c>
      <c r="G2" s="10">
        <v>1.625E8</v>
      </c>
      <c r="H2" s="9">
        <v>1.625E8</v>
      </c>
      <c r="I2" s="10">
        <v>1.625E8</v>
      </c>
      <c r="J2" s="9">
        <v>1.625E8</v>
      </c>
      <c r="K2" s="10">
        <v>1.625E8</v>
      </c>
      <c r="L2" s="9">
        <v>1.625E8</v>
      </c>
      <c r="M2" s="11">
        <v>0.0</v>
      </c>
      <c r="N2" s="12">
        <v>0.0</v>
      </c>
      <c r="O2" s="10">
        <f>SUM(D2:J2)</f>
        <v>812500000</v>
      </c>
    </row>
    <row r="3" ht="15.75" customHeight="1">
      <c r="A3" s="13" t="s">
        <v>16</v>
      </c>
      <c r="B3" s="14">
        <v>1.0</v>
      </c>
      <c r="C3" s="6">
        <v>1.0</v>
      </c>
      <c r="D3" s="7">
        <v>0.0</v>
      </c>
      <c r="E3" s="8">
        <v>0.0</v>
      </c>
      <c r="F3" s="12">
        <v>5.0E7</v>
      </c>
      <c r="G3" s="11">
        <v>5.0E7</v>
      </c>
      <c r="H3" s="12">
        <v>5.0E7</v>
      </c>
      <c r="I3" s="11">
        <v>5.0E7</v>
      </c>
      <c r="J3" s="12">
        <v>5.0E7</v>
      </c>
      <c r="K3" s="11">
        <v>5.0E7</v>
      </c>
      <c r="L3" s="12">
        <v>5.0E7</v>
      </c>
      <c r="M3" s="11">
        <v>5.0E7</v>
      </c>
      <c r="N3" s="12">
        <v>5.0E7</v>
      </c>
      <c r="O3" s="10">
        <f t="shared" ref="O3:O5" si="1">SUM(D3:N3)</f>
        <v>450000000</v>
      </c>
    </row>
    <row r="4" ht="15.75" customHeight="1">
      <c r="A4" s="13" t="s">
        <v>17</v>
      </c>
      <c r="B4" s="14">
        <v>5.0</v>
      </c>
      <c r="C4" s="6">
        <v>1.0</v>
      </c>
      <c r="D4" s="7">
        <v>0.0</v>
      </c>
      <c r="E4" s="11">
        <v>3.03E7</v>
      </c>
      <c r="F4" s="12">
        <v>3.03E7</v>
      </c>
      <c r="G4" s="11">
        <v>3.03E7</v>
      </c>
      <c r="H4" s="12">
        <v>3.03E7</v>
      </c>
      <c r="I4" s="11">
        <v>3.03E7</v>
      </c>
      <c r="J4" s="12">
        <v>3.03E7</v>
      </c>
      <c r="K4" s="11">
        <v>3.03E7</v>
      </c>
      <c r="L4" s="12">
        <v>3.03E7</v>
      </c>
      <c r="M4" s="11">
        <v>3.03E7</v>
      </c>
      <c r="N4" s="12">
        <v>3.03E7</v>
      </c>
      <c r="O4" s="10">
        <f t="shared" si="1"/>
        <v>303000000</v>
      </c>
    </row>
    <row r="5" ht="15.75" customHeight="1">
      <c r="A5" s="13" t="s">
        <v>18</v>
      </c>
      <c r="B5" s="14">
        <v>5.0</v>
      </c>
      <c r="C5" s="6">
        <v>1.0</v>
      </c>
      <c r="D5" s="7">
        <v>0.0</v>
      </c>
      <c r="E5" s="8">
        <v>0.0</v>
      </c>
      <c r="F5" s="12">
        <v>1.35E7</v>
      </c>
      <c r="G5" s="11">
        <v>1.35E7</v>
      </c>
      <c r="H5" s="12">
        <v>0.0</v>
      </c>
      <c r="I5" s="11">
        <v>0.0</v>
      </c>
      <c r="J5" s="12">
        <v>0.0</v>
      </c>
      <c r="K5" s="11">
        <v>0.0</v>
      </c>
      <c r="L5" s="12">
        <v>0.0</v>
      </c>
      <c r="M5" s="11">
        <v>0.0</v>
      </c>
      <c r="N5" s="12">
        <v>0.0</v>
      </c>
      <c r="O5" s="11">
        <f t="shared" si="1"/>
        <v>27000000</v>
      </c>
    </row>
    <row r="6" ht="15.75" customHeight="1">
      <c r="A6" s="13" t="s">
        <v>19</v>
      </c>
      <c r="B6" s="14">
        <v>5.0</v>
      </c>
      <c r="C6" s="6">
        <v>1.0</v>
      </c>
      <c r="D6" s="7">
        <v>0.0</v>
      </c>
      <c r="E6" s="8">
        <v>0.0</v>
      </c>
      <c r="F6" s="12">
        <v>1.5927914E7</v>
      </c>
      <c r="G6" s="11">
        <v>1.5927914E7</v>
      </c>
      <c r="H6" s="12">
        <v>0.0</v>
      </c>
      <c r="I6" s="11">
        <v>0.0</v>
      </c>
      <c r="J6" s="12">
        <v>0.0</v>
      </c>
      <c r="K6" s="11">
        <v>0.0</v>
      </c>
      <c r="L6" s="12">
        <v>0.0</v>
      </c>
      <c r="M6" s="11">
        <v>0.0</v>
      </c>
      <c r="N6" s="12">
        <v>0.0</v>
      </c>
      <c r="O6" s="11">
        <v>0.0</v>
      </c>
    </row>
    <row r="7" ht="15.75" customHeight="1">
      <c r="A7" s="4" t="s">
        <v>20</v>
      </c>
      <c r="B7" s="5">
        <v>8.0</v>
      </c>
      <c r="C7" s="6">
        <v>1.0</v>
      </c>
      <c r="D7" s="7">
        <v>0.0</v>
      </c>
      <c r="E7" s="8">
        <v>0.0</v>
      </c>
      <c r="F7" s="9">
        <v>2.82229E7</v>
      </c>
      <c r="G7" s="10">
        <v>2.82229E7</v>
      </c>
      <c r="H7" s="9">
        <v>2.82229E7</v>
      </c>
      <c r="I7" s="10">
        <v>2.82229E7</v>
      </c>
      <c r="J7" s="9">
        <v>2.82229E7</v>
      </c>
      <c r="K7" s="11">
        <v>0.0</v>
      </c>
      <c r="L7" s="12">
        <v>0.0</v>
      </c>
      <c r="M7" s="11">
        <v>0.0</v>
      </c>
      <c r="N7" s="12">
        <v>0.0</v>
      </c>
      <c r="O7" s="10">
        <f t="shared" ref="O7:O10" si="2">SUM(D7:N7)</f>
        <v>141114500</v>
      </c>
    </row>
    <row r="8" ht="15.75" customHeight="1">
      <c r="A8" s="13" t="s">
        <v>21</v>
      </c>
      <c r="B8" s="14">
        <v>11.0</v>
      </c>
      <c r="C8" s="6">
        <v>1.0</v>
      </c>
      <c r="D8" s="7">
        <v>0.0</v>
      </c>
      <c r="E8" s="11">
        <v>7500708.0</v>
      </c>
      <c r="F8" s="12">
        <v>0.0</v>
      </c>
      <c r="G8" s="11">
        <v>0.0</v>
      </c>
      <c r="H8" s="12">
        <v>0.0</v>
      </c>
      <c r="I8" s="11">
        <v>0.0</v>
      </c>
      <c r="J8" s="12">
        <v>0.0</v>
      </c>
      <c r="K8" s="11">
        <v>0.0</v>
      </c>
      <c r="L8" s="12">
        <v>0.0</v>
      </c>
      <c r="M8" s="11">
        <v>0.0</v>
      </c>
      <c r="N8" s="12">
        <v>0.0</v>
      </c>
      <c r="O8" s="10">
        <f t="shared" si="2"/>
        <v>7500708</v>
      </c>
    </row>
    <row r="9" ht="15.75" customHeight="1">
      <c r="A9" s="4" t="s">
        <v>22</v>
      </c>
      <c r="B9" s="5">
        <v>12.0</v>
      </c>
      <c r="C9" s="6">
        <v>1.0</v>
      </c>
      <c r="D9" s="9">
        <v>2.5E7</v>
      </c>
      <c r="E9" s="10">
        <v>2.5E7</v>
      </c>
      <c r="F9" s="9">
        <v>2.5E7</v>
      </c>
      <c r="G9" s="10">
        <v>2.5E7</v>
      </c>
      <c r="H9" s="9">
        <v>2.5E7</v>
      </c>
      <c r="I9" s="10">
        <v>2.5E7</v>
      </c>
      <c r="J9" s="9">
        <v>2.5E7</v>
      </c>
      <c r="K9" s="10">
        <v>2.5E7</v>
      </c>
      <c r="L9" s="9">
        <v>2.5E7</v>
      </c>
      <c r="M9" s="10">
        <v>2.5E7</v>
      </c>
      <c r="N9" s="9">
        <v>2.5E7</v>
      </c>
      <c r="O9" s="10">
        <f t="shared" si="2"/>
        <v>275000000</v>
      </c>
    </row>
    <row r="10" ht="15.75" customHeight="1">
      <c r="A10" s="13" t="s">
        <v>23</v>
      </c>
      <c r="B10" s="14">
        <v>12.0</v>
      </c>
      <c r="C10" s="6">
        <v>1.0</v>
      </c>
      <c r="D10" s="7">
        <v>0.0</v>
      </c>
      <c r="E10" s="8">
        <v>0.0</v>
      </c>
      <c r="F10" s="12">
        <v>0.0</v>
      </c>
      <c r="G10" s="11">
        <v>0.0</v>
      </c>
      <c r="H10" s="12">
        <v>0.0</v>
      </c>
      <c r="I10" s="11">
        <v>0.0</v>
      </c>
      <c r="J10" s="12">
        <v>0.0</v>
      </c>
      <c r="K10" s="11">
        <v>0.0</v>
      </c>
      <c r="L10" s="12">
        <v>0.0</v>
      </c>
      <c r="M10" s="11">
        <v>0.0</v>
      </c>
      <c r="N10" s="12">
        <v>0.0</v>
      </c>
      <c r="O10" s="10">
        <f t="shared" si="2"/>
        <v>0</v>
      </c>
    </row>
    <row r="11" ht="15.75" customHeight="1">
      <c r="A11" s="13" t="s">
        <v>24</v>
      </c>
      <c r="B11" s="14">
        <v>14.0</v>
      </c>
      <c r="C11" s="6">
        <v>1.0</v>
      </c>
      <c r="D11" s="7">
        <v>0.0</v>
      </c>
      <c r="E11" s="11">
        <v>4019739.0</v>
      </c>
      <c r="F11" s="12">
        <v>4019739.0</v>
      </c>
      <c r="G11" s="11">
        <v>0.0</v>
      </c>
      <c r="H11" s="12">
        <v>0.0</v>
      </c>
      <c r="I11" s="11">
        <v>0.0</v>
      </c>
      <c r="J11" s="12">
        <v>0.0</v>
      </c>
      <c r="K11" s="11">
        <v>0.0</v>
      </c>
      <c r="L11" s="12">
        <v>0.0</v>
      </c>
      <c r="M11" s="11">
        <v>0.0</v>
      </c>
      <c r="N11" s="12">
        <v>0.0</v>
      </c>
      <c r="O11" s="11">
        <f>SUM(B11:N11)</f>
        <v>8039493</v>
      </c>
    </row>
    <row r="12" ht="15.75" customHeight="1">
      <c r="A12" s="13" t="s">
        <v>25</v>
      </c>
      <c r="B12" s="14">
        <v>14.0</v>
      </c>
      <c r="C12" s="6">
        <v>1.0</v>
      </c>
      <c r="D12" s="7">
        <v>0.0</v>
      </c>
      <c r="E12" s="11">
        <v>9.4E7</v>
      </c>
      <c r="F12" s="12">
        <v>9.4E7</v>
      </c>
      <c r="G12" s="11">
        <v>9.4E7</v>
      </c>
      <c r="H12" s="12">
        <v>9.4E7</v>
      </c>
      <c r="I12" s="11">
        <v>9.4E7</v>
      </c>
      <c r="J12" s="12">
        <v>9.4E7</v>
      </c>
      <c r="K12" s="11">
        <v>9.4E7</v>
      </c>
      <c r="L12" s="12">
        <v>9.4E7</v>
      </c>
      <c r="M12" s="11">
        <v>9.4E7</v>
      </c>
      <c r="N12" s="12">
        <v>9.4E7</v>
      </c>
      <c r="O12" s="10">
        <f>SUM(D12:N12)</f>
        <v>940000000</v>
      </c>
    </row>
    <row r="13" ht="15.75" customHeight="1">
      <c r="A13" s="4" t="s">
        <v>26</v>
      </c>
      <c r="B13" s="5">
        <v>16.0</v>
      </c>
      <c r="C13" s="6">
        <v>1.0</v>
      </c>
      <c r="D13" s="7">
        <v>0.0</v>
      </c>
      <c r="E13" s="10">
        <v>2.444E7</v>
      </c>
      <c r="F13" s="9">
        <v>2.444E7</v>
      </c>
      <c r="G13" s="10">
        <v>2.444E7</v>
      </c>
      <c r="H13" s="9">
        <v>2.444E7</v>
      </c>
      <c r="I13" s="10">
        <v>2.444E7</v>
      </c>
      <c r="J13" s="12">
        <v>0.0</v>
      </c>
      <c r="K13" s="11">
        <v>0.0</v>
      </c>
      <c r="L13" s="12">
        <v>0.0</v>
      </c>
      <c r="M13" s="11">
        <v>0.0</v>
      </c>
      <c r="N13" s="12">
        <v>0.0</v>
      </c>
      <c r="O13" s="11">
        <f>SUM(B13:N13)</f>
        <v>122200017</v>
      </c>
    </row>
    <row r="14" ht="15.75" customHeight="1">
      <c r="A14" s="13" t="s">
        <v>27</v>
      </c>
      <c r="B14" s="14">
        <v>25.0</v>
      </c>
      <c r="C14" s="6">
        <v>1.0</v>
      </c>
      <c r="D14" s="7">
        <v>0.0</v>
      </c>
      <c r="E14" s="11">
        <v>2.7790352E7</v>
      </c>
      <c r="F14" s="12">
        <v>2.7790352E7</v>
      </c>
      <c r="G14" s="11">
        <v>2.7790352E7</v>
      </c>
      <c r="H14" s="12">
        <v>2.7790352E7</v>
      </c>
      <c r="I14" s="11">
        <v>2.7790352E7</v>
      </c>
      <c r="J14" s="12">
        <v>2.7790352E7</v>
      </c>
      <c r="K14" s="11">
        <v>2.7790352E7</v>
      </c>
      <c r="L14" s="12">
        <v>2.7790352E7</v>
      </c>
      <c r="M14" s="11">
        <v>2.7790352E7</v>
      </c>
      <c r="N14" s="12">
        <v>2.7790352E7</v>
      </c>
      <c r="O14" s="10">
        <f t="shared" ref="O14:O18" si="3">SUM(D14:N14)</f>
        <v>277903520</v>
      </c>
    </row>
    <row r="15" ht="15.75" customHeight="1">
      <c r="A15" s="13" t="s">
        <v>28</v>
      </c>
      <c r="B15" s="14">
        <v>26.0</v>
      </c>
      <c r="C15" s="6">
        <v>1.0</v>
      </c>
      <c r="D15" s="7">
        <v>0.0</v>
      </c>
      <c r="E15" s="8">
        <v>0.0</v>
      </c>
      <c r="F15" s="12">
        <v>9.4E7</v>
      </c>
      <c r="G15" s="11">
        <v>9.4E7</v>
      </c>
      <c r="H15" s="12">
        <v>9.4E7</v>
      </c>
      <c r="I15" s="11">
        <v>9.4E7</v>
      </c>
      <c r="J15" s="12">
        <v>9.4E7</v>
      </c>
      <c r="K15" s="11">
        <v>9.4E7</v>
      </c>
      <c r="L15" s="12">
        <v>9.4E7</v>
      </c>
      <c r="M15" s="11">
        <v>9.4E7</v>
      </c>
      <c r="N15" s="12">
        <v>9.4E7</v>
      </c>
      <c r="O15" s="10">
        <f t="shared" si="3"/>
        <v>846000000</v>
      </c>
    </row>
    <row r="16" ht="15.75" customHeight="1">
      <c r="A16" s="13" t="s">
        <v>29</v>
      </c>
      <c r="B16" s="5">
        <v>29.0</v>
      </c>
      <c r="C16" s="6">
        <v>1.0</v>
      </c>
      <c r="D16" s="7">
        <v>0.0</v>
      </c>
      <c r="E16" s="10">
        <v>6573039.0</v>
      </c>
      <c r="F16" s="9">
        <v>6573039.0</v>
      </c>
      <c r="G16" s="10">
        <v>6573039.0</v>
      </c>
      <c r="H16" s="9">
        <v>6573039.0</v>
      </c>
      <c r="I16" s="10">
        <v>6573039.0</v>
      </c>
      <c r="J16" s="9">
        <v>6573039.0</v>
      </c>
      <c r="K16" s="10">
        <v>6573039.0</v>
      </c>
      <c r="L16" s="9">
        <v>6573039.0</v>
      </c>
      <c r="M16" s="10">
        <v>6573039.0</v>
      </c>
      <c r="N16" s="9">
        <v>6573039.0</v>
      </c>
      <c r="O16" s="10">
        <f t="shared" si="3"/>
        <v>65730390</v>
      </c>
    </row>
    <row r="17" ht="15.75" customHeight="1">
      <c r="A17" s="13" t="s">
        <v>30</v>
      </c>
      <c r="B17" s="14">
        <v>29.0</v>
      </c>
      <c r="C17" s="6">
        <v>1.0</v>
      </c>
      <c r="D17" s="7">
        <v>0.0</v>
      </c>
      <c r="E17" s="8">
        <v>0.0</v>
      </c>
      <c r="F17" s="12">
        <v>2.0E8</v>
      </c>
      <c r="G17" s="11">
        <v>2.0E8</v>
      </c>
      <c r="H17" s="12">
        <v>0.0</v>
      </c>
      <c r="I17" s="11">
        <v>0.0</v>
      </c>
      <c r="J17" s="12">
        <v>0.0</v>
      </c>
      <c r="K17" s="11">
        <v>0.0</v>
      </c>
      <c r="L17" s="12">
        <v>0.0</v>
      </c>
      <c r="M17" s="11">
        <v>0.0</v>
      </c>
      <c r="N17" s="12">
        <v>0.0</v>
      </c>
      <c r="O17" s="10">
        <f t="shared" si="3"/>
        <v>400000000</v>
      </c>
    </row>
    <row r="18" ht="15.75" customHeight="1">
      <c r="A18" s="13" t="s">
        <v>31</v>
      </c>
      <c r="B18" s="5">
        <v>30.0</v>
      </c>
      <c r="C18" s="6">
        <v>1.0</v>
      </c>
      <c r="D18" s="12">
        <v>1.7E7</v>
      </c>
      <c r="E18" s="10">
        <v>1.602574E7</v>
      </c>
      <c r="F18" s="9">
        <v>1.602574E7</v>
      </c>
      <c r="G18" s="10">
        <v>1.602574E7</v>
      </c>
      <c r="H18" s="9">
        <v>1.602574E7</v>
      </c>
      <c r="I18" s="10">
        <v>1.602574E7</v>
      </c>
      <c r="J18" s="9">
        <v>1.602574E7</v>
      </c>
      <c r="K18" s="10">
        <v>1.602574E7</v>
      </c>
      <c r="L18" s="9">
        <v>1.602574E7</v>
      </c>
      <c r="M18" s="10">
        <v>1.602574E7</v>
      </c>
      <c r="N18" s="9">
        <v>1.602574E7</v>
      </c>
      <c r="O18" s="10">
        <f t="shared" si="3"/>
        <v>177257400</v>
      </c>
    </row>
    <row r="19" ht="15.75" customHeight="1">
      <c r="A19" s="13"/>
      <c r="B19" s="14"/>
      <c r="C19" s="6"/>
      <c r="D19" s="12"/>
      <c r="E19" s="11"/>
      <c r="F19" s="12"/>
      <c r="G19" s="11"/>
      <c r="H19" s="12"/>
      <c r="I19" s="11"/>
      <c r="J19" s="12"/>
      <c r="K19" s="11"/>
      <c r="L19" s="12"/>
      <c r="M19" s="11"/>
      <c r="N19" s="12"/>
      <c r="O19" s="10"/>
    </row>
    <row r="20" ht="15.75" customHeight="1">
      <c r="A20" s="13"/>
      <c r="B20" s="14"/>
      <c r="C20" s="6"/>
      <c r="D20" s="7"/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0"/>
    </row>
    <row r="21" ht="15.75" customHeight="1">
      <c r="A21" s="13"/>
      <c r="B21" s="14"/>
      <c r="C21" s="6"/>
      <c r="D21" s="12"/>
      <c r="E21" s="11"/>
      <c r="F21" s="12"/>
      <c r="G21" s="11"/>
      <c r="H21" s="12"/>
      <c r="I21" s="11"/>
      <c r="J21" s="12"/>
      <c r="K21" s="11"/>
      <c r="L21" s="12"/>
      <c r="M21" s="11"/>
      <c r="N21" s="12"/>
      <c r="O21" s="11"/>
    </row>
    <row r="22" ht="15.75" customHeight="1">
      <c r="A22" s="4" t="s">
        <v>32</v>
      </c>
      <c r="B22" s="15"/>
      <c r="C22" s="15"/>
      <c r="D22" s="16"/>
      <c r="E22" s="17">
        <v>6.5E8</v>
      </c>
      <c r="F22" s="16">
        <v>6.5E8</v>
      </c>
      <c r="G22" s="17">
        <v>6.5E8</v>
      </c>
      <c r="H22" s="16">
        <v>6.5E8</v>
      </c>
      <c r="I22" s="17">
        <v>6.5E8</v>
      </c>
      <c r="J22" s="16">
        <v>6.5E8</v>
      </c>
      <c r="K22" s="17">
        <v>6.5E8</v>
      </c>
      <c r="L22" s="16">
        <v>6.5E8</v>
      </c>
      <c r="M22" s="17">
        <v>6.5E8</v>
      </c>
      <c r="N22" s="16">
        <v>6.5E8</v>
      </c>
      <c r="O22" s="18">
        <f t="shared" ref="O22:O28" si="4">SUM(D22:N22)</f>
        <v>6500000000</v>
      </c>
    </row>
    <row r="23" ht="15.75" customHeight="1">
      <c r="A23" s="13" t="s">
        <v>33</v>
      </c>
      <c r="B23" s="19"/>
      <c r="C23" s="19"/>
      <c r="D23" s="20"/>
      <c r="E23" s="17"/>
      <c r="F23" s="20"/>
      <c r="G23" s="18"/>
      <c r="H23" s="20"/>
      <c r="I23" s="18"/>
      <c r="J23" s="20"/>
      <c r="K23" s="18"/>
      <c r="L23" s="20"/>
      <c r="M23" s="18"/>
      <c r="N23" s="20"/>
      <c r="O23" s="18">
        <f t="shared" si="4"/>
        <v>0</v>
      </c>
    </row>
    <row r="24" ht="15.75" customHeight="1">
      <c r="A24" s="13" t="s">
        <v>34</v>
      </c>
      <c r="B24" s="19"/>
      <c r="C24" s="19"/>
      <c r="D24" s="20"/>
      <c r="E24" s="18"/>
      <c r="F24" s="20"/>
      <c r="G24" s="18"/>
      <c r="H24" s="20"/>
      <c r="I24" s="18"/>
      <c r="J24" s="20"/>
      <c r="K24" s="18"/>
      <c r="L24" s="20"/>
      <c r="M24" s="18"/>
      <c r="N24" s="20">
        <f>SUM(500000000+600000000)</f>
        <v>1100000000</v>
      </c>
      <c r="O24" s="18">
        <f t="shared" si="4"/>
        <v>1100000000</v>
      </c>
    </row>
    <row r="25" ht="15.75" customHeight="1">
      <c r="A25" s="4" t="s">
        <v>35</v>
      </c>
      <c r="B25" s="21"/>
      <c r="C25" s="21"/>
      <c r="D25" s="22">
        <f t="shared" ref="D25:N25" si="5">SUM(D2:D21)</f>
        <v>42000000</v>
      </c>
      <c r="E25" s="22">
        <f t="shared" si="5"/>
        <v>235649578</v>
      </c>
      <c r="F25" s="22">
        <f t="shared" si="5"/>
        <v>792299684</v>
      </c>
      <c r="G25" s="22">
        <f t="shared" si="5"/>
        <v>788279945</v>
      </c>
      <c r="H25" s="22">
        <f t="shared" si="5"/>
        <v>558852031</v>
      </c>
      <c r="I25" s="22">
        <f t="shared" si="5"/>
        <v>558852031</v>
      </c>
      <c r="J25" s="22">
        <f t="shared" si="5"/>
        <v>534412031</v>
      </c>
      <c r="K25" s="22">
        <f t="shared" si="5"/>
        <v>506189131</v>
      </c>
      <c r="L25" s="22">
        <f t="shared" si="5"/>
        <v>506189131</v>
      </c>
      <c r="M25" s="22">
        <f t="shared" si="5"/>
        <v>343689131</v>
      </c>
      <c r="N25" s="22">
        <f t="shared" si="5"/>
        <v>343689131</v>
      </c>
      <c r="O25" s="22">
        <f t="shared" si="4"/>
        <v>5210101824</v>
      </c>
    </row>
    <row r="26" ht="15.75" customHeight="1">
      <c r="A26" s="4" t="s">
        <v>36</v>
      </c>
      <c r="B26" s="21"/>
      <c r="C26" s="21"/>
      <c r="D26" s="22">
        <f t="shared" ref="D26:N26" si="6">SUM(D22:D24)</f>
        <v>0</v>
      </c>
      <c r="E26" s="22">
        <f t="shared" si="6"/>
        <v>650000000</v>
      </c>
      <c r="F26" s="22">
        <f t="shared" si="6"/>
        <v>650000000</v>
      </c>
      <c r="G26" s="22">
        <f t="shared" si="6"/>
        <v>650000000</v>
      </c>
      <c r="H26" s="22">
        <f t="shared" si="6"/>
        <v>650000000</v>
      </c>
      <c r="I26" s="22">
        <f t="shared" si="6"/>
        <v>650000000</v>
      </c>
      <c r="J26" s="22">
        <f t="shared" si="6"/>
        <v>650000000</v>
      </c>
      <c r="K26" s="22">
        <f t="shared" si="6"/>
        <v>650000000</v>
      </c>
      <c r="L26" s="22">
        <f t="shared" si="6"/>
        <v>650000000</v>
      </c>
      <c r="M26" s="22">
        <f t="shared" si="6"/>
        <v>650000000</v>
      </c>
      <c r="N26" s="22">
        <f t="shared" si="6"/>
        <v>1750000000</v>
      </c>
      <c r="O26" s="22">
        <f t="shared" si="4"/>
        <v>7600000000</v>
      </c>
    </row>
    <row r="27" ht="15.75" customHeight="1">
      <c r="A27" s="4" t="s">
        <v>37</v>
      </c>
      <c r="B27" s="21"/>
      <c r="C27" s="21"/>
      <c r="D27" s="22">
        <f t="shared" ref="D27:N27" si="7">SUM(D26-D25)</f>
        <v>-42000000</v>
      </c>
      <c r="E27" s="22">
        <f t="shared" si="7"/>
        <v>414350422</v>
      </c>
      <c r="F27" s="22">
        <f t="shared" si="7"/>
        <v>-142299684</v>
      </c>
      <c r="G27" s="22">
        <f t="shared" si="7"/>
        <v>-138279945</v>
      </c>
      <c r="H27" s="22">
        <f t="shared" si="7"/>
        <v>91147969</v>
      </c>
      <c r="I27" s="22">
        <f t="shared" si="7"/>
        <v>91147969</v>
      </c>
      <c r="J27" s="22">
        <f t="shared" si="7"/>
        <v>115587969</v>
      </c>
      <c r="K27" s="22">
        <f t="shared" si="7"/>
        <v>143810869</v>
      </c>
      <c r="L27" s="22">
        <f t="shared" si="7"/>
        <v>143810869</v>
      </c>
      <c r="M27" s="22">
        <f t="shared" si="7"/>
        <v>306310869</v>
      </c>
      <c r="N27" s="22">
        <f t="shared" si="7"/>
        <v>1406310869</v>
      </c>
      <c r="O27" s="22">
        <f t="shared" si="4"/>
        <v>2389898176</v>
      </c>
    </row>
    <row r="28" ht="15.75" customHeight="1">
      <c r="A28" s="4" t="s">
        <v>38</v>
      </c>
      <c r="B28" s="21"/>
      <c r="C28" s="21"/>
      <c r="D28" s="22">
        <v>2.0E8</v>
      </c>
      <c r="E28" s="22">
        <v>2.0E8</v>
      </c>
      <c r="F28" s="22">
        <v>2.0E8</v>
      </c>
      <c r="G28" s="22">
        <v>2.0E8</v>
      </c>
      <c r="H28" s="22">
        <v>2.0E8</v>
      </c>
      <c r="I28" s="22">
        <v>2.0E8</v>
      </c>
      <c r="J28" s="22">
        <v>2.0E8</v>
      </c>
      <c r="K28" s="22">
        <v>2.0E8</v>
      </c>
      <c r="L28" s="22">
        <v>2.0E8</v>
      </c>
      <c r="M28" s="22">
        <v>2.0E8</v>
      </c>
      <c r="N28" s="22">
        <v>2.0E8</v>
      </c>
      <c r="O28" s="22">
        <f t="shared" si="4"/>
        <v>2200000000</v>
      </c>
    </row>
    <row r="29" ht="15.75" customHeight="1">
      <c r="A29" s="4" t="s">
        <v>39</v>
      </c>
      <c r="B29" s="21"/>
      <c r="C29" s="23"/>
      <c r="D29" s="22">
        <f t="shared" ref="D29:O29" si="8">SUM(D27-D28)</f>
        <v>-242000000</v>
      </c>
      <c r="E29" s="22">
        <f t="shared" si="8"/>
        <v>214350422</v>
      </c>
      <c r="F29" s="22">
        <f t="shared" si="8"/>
        <v>-342299684</v>
      </c>
      <c r="G29" s="22">
        <f t="shared" si="8"/>
        <v>-338279945</v>
      </c>
      <c r="H29" s="22">
        <f t="shared" si="8"/>
        <v>-108852031</v>
      </c>
      <c r="I29" s="22">
        <f t="shared" si="8"/>
        <v>-108852031</v>
      </c>
      <c r="J29" s="22">
        <f t="shared" si="8"/>
        <v>-84412031</v>
      </c>
      <c r="K29" s="22">
        <f t="shared" si="8"/>
        <v>-56189131</v>
      </c>
      <c r="L29" s="22">
        <f t="shared" si="8"/>
        <v>-56189131</v>
      </c>
      <c r="M29" s="22">
        <f t="shared" si="8"/>
        <v>106310869</v>
      </c>
      <c r="N29" s="22">
        <f t="shared" si="8"/>
        <v>1206310869</v>
      </c>
      <c r="O29" s="22">
        <f t="shared" si="8"/>
        <v>189898176</v>
      </c>
    </row>
  </sheetData>
  <dataValidations>
    <dataValidation type="list" allowBlank="1" showErrorMessage="1" sqref="C2:C28">
      <formula1>"1,10,12,15,16,19,20,21,25,28,3,5,31,30,11,8,14,29,2"</formula1>
    </dataValidation>
    <dataValidation type="custom" allowBlank="1" showDropDown="1" sqref="B2:B29 D2:O29">
      <formula1>AND(ISNUMBER(B2),(NOT(OR(NOT(ISERROR(DATEVALUE(B2))), AND(ISNUMBER(B2), LEFT(CELL("format", B2))="D")))))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3" width="12.63"/>
    <col customWidth="1" min="4" max="4" width="25.5"/>
    <col customWidth="1" min="5" max="5" width="25.63"/>
    <col customWidth="1" min="6" max="6" width="25.38"/>
    <col customWidth="1" min="7" max="7" width="25.13"/>
    <col customWidth="1" min="8" max="8" width="25.38"/>
    <col customWidth="1" min="9" max="9" width="25.63"/>
    <col customWidth="1" min="10" max="10" width="25.38"/>
    <col customWidth="1" min="11" max="11" width="25.5"/>
    <col customWidth="1" min="12" max="13" width="25.63"/>
    <col customWidth="1" min="14" max="15" width="25.25"/>
    <col customWidth="1" min="16" max="16" width="25.13"/>
  </cols>
  <sheetData>
    <row r="1" ht="15.75" customHeight="1">
      <c r="A1" s="24" t="s">
        <v>40</v>
      </c>
      <c r="B1" s="24" t="s">
        <v>40</v>
      </c>
      <c r="C1" s="25" t="s">
        <v>2</v>
      </c>
      <c r="D1" s="26" t="s">
        <v>41</v>
      </c>
      <c r="E1" s="26" t="s">
        <v>3</v>
      </c>
      <c r="F1" s="26" t="s">
        <v>4</v>
      </c>
      <c r="G1" s="24" t="s">
        <v>5</v>
      </c>
      <c r="H1" s="24" t="s">
        <v>6</v>
      </c>
      <c r="I1" s="26" t="s">
        <v>7</v>
      </c>
      <c r="J1" s="26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6" t="s">
        <v>14</v>
      </c>
    </row>
    <row r="2" ht="15.75" customHeight="1">
      <c r="A2" s="27" t="s">
        <v>42</v>
      </c>
      <c r="B2" s="28"/>
      <c r="C2" s="29"/>
      <c r="D2" s="30" t="s">
        <v>42</v>
      </c>
      <c r="E2" s="31" t="s">
        <v>42</v>
      </c>
      <c r="F2" s="30" t="s">
        <v>42</v>
      </c>
      <c r="G2" s="31" t="s">
        <v>42</v>
      </c>
      <c r="H2" s="30" t="s">
        <v>42</v>
      </c>
      <c r="I2" s="31" t="s">
        <v>42</v>
      </c>
      <c r="J2" s="30" t="s">
        <v>42</v>
      </c>
      <c r="K2" s="31" t="s">
        <v>42</v>
      </c>
      <c r="L2" s="30" t="s">
        <v>42</v>
      </c>
      <c r="M2" s="31" t="s">
        <v>42</v>
      </c>
      <c r="N2" s="30" t="s">
        <v>42</v>
      </c>
      <c r="O2" s="31" t="s">
        <v>42</v>
      </c>
      <c r="P2" s="30">
        <f>SUM(D2:K2)</f>
        <v>0</v>
      </c>
    </row>
    <row r="3" ht="15.75" customHeight="1">
      <c r="A3" s="27" t="s">
        <v>42</v>
      </c>
      <c r="B3" s="28"/>
      <c r="C3" s="29"/>
      <c r="D3" s="30" t="s">
        <v>42</v>
      </c>
      <c r="E3" s="31" t="s">
        <v>42</v>
      </c>
      <c r="F3" s="30" t="s">
        <v>42</v>
      </c>
      <c r="G3" s="31" t="s">
        <v>42</v>
      </c>
      <c r="H3" s="30" t="s">
        <v>42</v>
      </c>
      <c r="I3" s="31" t="s">
        <v>42</v>
      </c>
      <c r="J3" s="30" t="s">
        <v>42</v>
      </c>
      <c r="K3" s="31" t="s">
        <v>42</v>
      </c>
      <c r="L3" s="30" t="s">
        <v>42</v>
      </c>
      <c r="M3" s="31" t="s">
        <v>42</v>
      </c>
      <c r="N3" s="30" t="s">
        <v>42</v>
      </c>
      <c r="O3" s="31" t="s">
        <v>42</v>
      </c>
      <c r="P3" s="30">
        <f t="shared" ref="P3:P13" si="1">SUM(D3:O3)</f>
        <v>0</v>
      </c>
    </row>
    <row r="4" ht="15.75" customHeight="1">
      <c r="A4" s="27" t="s">
        <v>42</v>
      </c>
      <c r="B4" s="28"/>
      <c r="C4" s="29"/>
      <c r="D4" s="30" t="s">
        <v>42</v>
      </c>
      <c r="E4" s="31" t="s">
        <v>42</v>
      </c>
      <c r="F4" s="30" t="s">
        <v>42</v>
      </c>
      <c r="G4" s="31" t="s">
        <v>42</v>
      </c>
      <c r="H4" s="30" t="s">
        <v>42</v>
      </c>
      <c r="I4" s="31" t="s">
        <v>42</v>
      </c>
      <c r="J4" s="30" t="s">
        <v>42</v>
      </c>
      <c r="K4" s="31" t="s">
        <v>42</v>
      </c>
      <c r="L4" s="30" t="s">
        <v>42</v>
      </c>
      <c r="M4" s="31" t="s">
        <v>42</v>
      </c>
      <c r="N4" s="30" t="s">
        <v>42</v>
      </c>
      <c r="O4" s="31" t="s">
        <v>42</v>
      </c>
      <c r="P4" s="30">
        <f t="shared" si="1"/>
        <v>0</v>
      </c>
    </row>
    <row r="5" ht="15.75" customHeight="1">
      <c r="A5" s="27" t="s">
        <v>42</v>
      </c>
      <c r="B5" s="28"/>
      <c r="C5" s="29"/>
      <c r="D5" s="30" t="s">
        <v>42</v>
      </c>
      <c r="E5" s="31" t="s">
        <v>42</v>
      </c>
      <c r="F5" s="30" t="s">
        <v>42</v>
      </c>
      <c r="G5" s="31" t="s">
        <v>42</v>
      </c>
      <c r="H5" s="30" t="s">
        <v>42</v>
      </c>
      <c r="I5" s="31" t="s">
        <v>42</v>
      </c>
      <c r="J5" s="30" t="s">
        <v>42</v>
      </c>
      <c r="K5" s="31" t="s">
        <v>42</v>
      </c>
      <c r="L5" s="30" t="s">
        <v>42</v>
      </c>
      <c r="M5" s="31" t="s">
        <v>42</v>
      </c>
      <c r="N5" s="30" t="s">
        <v>42</v>
      </c>
      <c r="O5" s="31" t="s">
        <v>42</v>
      </c>
      <c r="P5" s="30">
        <f t="shared" si="1"/>
        <v>0</v>
      </c>
    </row>
    <row r="6" ht="15.75" customHeight="1">
      <c r="A6" s="27" t="s">
        <v>42</v>
      </c>
      <c r="B6" s="28"/>
      <c r="C6" s="29"/>
      <c r="D6" s="30" t="s">
        <v>42</v>
      </c>
      <c r="E6" s="31" t="s">
        <v>42</v>
      </c>
      <c r="F6" s="30" t="s">
        <v>42</v>
      </c>
      <c r="G6" s="31" t="s">
        <v>42</v>
      </c>
      <c r="H6" s="30" t="s">
        <v>42</v>
      </c>
      <c r="I6" s="31" t="s">
        <v>42</v>
      </c>
      <c r="J6" s="30" t="s">
        <v>42</v>
      </c>
      <c r="K6" s="31" t="s">
        <v>42</v>
      </c>
      <c r="L6" s="30" t="s">
        <v>42</v>
      </c>
      <c r="M6" s="31" t="s">
        <v>42</v>
      </c>
      <c r="N6" s="30" t="s">
        <v>42</v>
      </c>
      <c r="O6" s="31" t="s">
        <v>42</v>
      </c>
      <c r="P6" s="30">
        <f t="shared" si="1"/>
        <v>0</v>
      </c>
    </row>
    <row r="7" ht="15.75" customHeight="1">
      <c r="A7" s="27" t="s">
        <v>42</v>
      </c>
      <c r="B7" s="28"/>
      <c r="C7" s="29"/>
      <c r="D7" s="30" t="s">
        <v>42</v>
      </c>
      <c r="E7" s="31" t="s">
        <v>42</v>
      </c>
      <c r="F7" s="30" t="s">
        <v>42</v>
      </c>
      <c r="G7" s="31" t="s">
        <v>42</v>
      </c>
      <c r="H7" s="30" t="s">
        <v>42</v>
      </c>
      <c r="I7" s="31" t="s">
        <v>42</v>
      </c>
      <c r="J7" s="30" t="s">
        <v>42</v>
      </c>
      <c r="K7" s="31" t="s">
        <v>42</v>
      </c>
      <c r="L7" s="30" t="s">
        <v>42</v>
      </c>
      <c r="M7" s="31" t="s">
        <v>42</v>
      </c>
      <c r="N7" s="30" t="s">
        <v>42</v>
      </c>
      <c r="O7" s="31" t="s">
        <v>42</v>
      </c>
      <c r="P7" s="30">
        <f t="shared" si="1"/>
        <v>0</v>
      </c>
    </row>
    <row r="8" ht="15.75" customHeight="1">
      <c r="A8" s="27" t="s">
        <v>42</v>
      </c>
      <c r="B8" s="28"/>
      <c r="C8" s="29"/>
      <c r="D8" s="30" t="s">
        <v>42</v>
      </c>
      <c r="E8" s="31" t="s">
        <v>42</v>
      </c>
      <c r="F8" s="30" t="s">
        <v>42</v>
      </c>
      <c r="G8" s="31" t="s">
        <v>42</v>
      </c>
      <c r="H8" s="30" t="s">
        <v>42</v>
      </c>
      <c r="I8" s="31" t="s">
        <v>42</v>
      </c>
      <c r="J8" s="30" t="s">
        <v>42</v>
      </c>
      <c r="K8" s="31" t="s">
        <v>42</v>
      </c>
      <c r="L8" s="30" t="s">
        <v>42</v>
      </c>
      <c r="M8" s="31" t="s">
        <v>42</v>
      </c>
      <c r="N8" s="30" t="s">
        <v>42</v>
      </c>
      <c r="O8" s="31" t="s">
        <v>42</v>
      </c>
      <c r="P8" s="30">
        <f t="shared" si="1"/>
        <v>0</v>
      </c>
    </row>
    <row r="9" ht="15.75" customHeight="1">
      <c r="A9" s="27" t="s">
        <v>42</v>
      </c>
      <c r="B9" s="28"/>
      <c r="C9" s="29"/>
      <c r="D9" s="30" t="s">
        <v>42</v>
      </c>
      <c r="E9" s="31" t="s">
        <v>42</v>
      </c>
      <c r="F9" s="30" t="s">
        <v>42</v>
      </c>
      <c r="G9" s="31" t="s">
        <v>42</v>
      </c>
      <c r="H9" s="30" t="s">
        <v>42</v>
      </c>
      <c r="I9" s="31" t="s">
        <v>42</v>
      </c>
      <c r="J9" s="30" t="s">
        <v>42</v>
      </c>
      <c r="K9" s="31" t="s">
        <v>42</v>
      </c>
      <c r="L9" s="30" t="s">
        <v>42</v>
      </c>
      <c r="M9" s="31" t="s">
        <v>42</v>
      </c>
      <c r="N9" s="30" t="s">
        <v>42</v>
      </c>
      <c r="O9" s="31" t="s">
        <v>42</v>
      </c>
      <c r="P9" s="30">
        <f t="shared" si="1"/>
        <v>0</v>
      </c>
    </row>
    <row r="10" ht="15.75" customHeight="1">
      <c r="A10" s="27" t="s">
        <v>42</v>
      </c>
      <c r="B10" s="28"/>
      <c r="C10" s="29"/>
      <c r="D10" s="30" t="s">
        <v>42</v>
      </c>
      <c r="E10" s="31" t="s">
        <v>42</v>
      </c>
      <c r="F10" s="30" t="s">
        <v>42</v>
      </c>
      <c r="G10" s="31" t="s">
        <v>42</v>
      </c>
      <c r="H10" s="30" t="s">
        <v>42</v>
      </c>
      <c r="I10" s="31" t="s">
        <v>42</v>
      </c>
      <c r="J10" s="30" t="s">
        <v>42</v>
      </c>
      <c r="K10" s="31" t="s">
        <v>42</v>
      </c>
      <c r="L10" s="30" t="s">
        <v>42</v>
      </c>
      <c r="M10" s="31" t="s">
        <v>42</v>
      </c>
      <c r="N10" s="30" t="s">
        <v>42</v>
      </c>
      <c r="O10" s="31" t="s">
        <v>42</v>
      </c>
      <c r="P10" s="30">
        <f t="shared" si="1"/>
        <v>0</v>
      </c>
    </row>
    <row r="11" ht="15.75" customHeight="1">
      <c r="A11" s="27" t="s">
        <v>42</v>
      </c>
      <c r="B11" s="28"/>
      <c r="C11" s="29"/>
      <c r="D11" s="30" t="s">
        <v>42</v>
      </c>
      <c r="E11" s="31" t="s">
        <v>42</v>
      </c>
      <c r="F11" s="30" t="s">
        <v>42</v>
      </c>
      <c r="G11" s="31" t="s">
        <v>42</v>
      </c>
      <c r="H11" s="30" t="s">
        <v>42</v>
      </c>
      <c r="I11" s="31" t="s">
        <v>42</v>
      </c>
      <c r="J11" s="30" t="s">
        <v>42</v>
      </c>
      <c r="K11" s="31" t="s">
        <v>42</v>
      </c>
      <c r="L11" s="30" t="s">
        <v>42</v>
      </c>
      <c r="M11" s="31" t="s">
        <v>42</v>
      </c>
      <c r="N11" s="30" t="s">
        <v>42</v>
      </c>
      <c r="O11" s="31" t="s">
        <v>42</v>
      </c>
      <c r="P11" s="30">
        <f t="shared" si="1"/>
        <v>0</v>
      </c>
    </row>
    <row r="12" ht="15.75" customHeight="1">
      <c r="A12" s="27" t="s">
        <v>42</v>
      </c>
      <c r="B12" s="28"/>
      <c r="C12" s="29"/>
      <c r="D12" s="30" t="s">
        <v>42</v>
      </c>
      <c r="E12" s="31" t="s">
        <v>42</v>
      </c>
      <c r="F12" s="30" t="s">
        <v>42</v>
      </c>
      <c r="G12" s="31" t="s">
        <v>42</v>
      </c>
      <c r="H12" s="30" t="s">
        <v>42</v>
      </c>
      <c r="I12" s="31" t="s">
        <v>42</v>
      </c>
      <c r="J12" s="30" t="s">
        <v>42</v>
      </c>
      <c r="K12" s="31" t="s">
        <v>42</v>
      </c>
      <c r="L12" s="30" t="s">
        <v>42</v>
      </c>
      <c r="M12" s="31" t="s">
        <v>42</v>
      </c>
      <c r="N12" s="30" t="s">
        <v>42</v>
      </c>
      <c r="O12" s="31" t="s">
        <v>42</v>
      </c>
      <c r="P12" s="30">
        <f t="shared" si="1"/>
        <v>0</v>
      </c>
    </row>
    <row r="13" ht="15.75" customHeight="1">
      <c r="A13" s="27" t="s">
        <v>42</v>
      </c>
      <c r="B13" s="28"/>
      <c r="C13" s="29"/>
      <c r="D13" s="30" t="s">
        <v>42</v>
      </c>
      <c r="E13" s="31" t="s">
        <v>42</v>
      </c>
      <c r="F13" s="30" t="s">
        <v>42</v>
      </c>
      <c r="G13" s="31" t="s">
        <v>42</v>
      </c>
      <c r="H13" s="30" t="s">
        <v>42</v>
      </c>
      <c r="I13" s="31" t="s">
        <v>42</v>
      </c>
      <c r="J13" s="30" t="s">
        <v>42</v>
      </c>
      <c r="K13" s="31" t="s">
        <v>42</v>
      </c>
      <c r="L13" s="30" t="s">
        <v>42</v>
      </c>
      <c r="M13" s="31" t="s">
        <v>42</v>
      </c>
      <c r="N13" s="30" t="s">
        <v>42</v>
      </c>
      <c r="O13" s="31" t="s">
        <v>42</v>
      </c>
      <c r="P13" s="30">
        <f t="shared" si="1"/>
        <v>0</v>
      </c>
    </row>
    <row r="14" ht="15.75" customHeight="1">
      <c r="A14" s="27" t="s">
        <v>42</v>
      </c>
      <c r="B14" s="28"/>
      <c r="C14" s="29"/>
      <c r="D14" s="30" t="s">
        <v>42</v>
      </c>
      <c r="E14" s="31" t="s">
        <v>42</v>
      </c>
      <c r="F14" s="30" t="s">
        <v>42</v>
      </c>
      <c r="G14" s="31" t="s">
        <v>42</v>
      </c>
      <c r="H14" s="30" t="s">
        <v>42</v>
      </c>
      <c r="I14" s="31" t="s">
        <v>42</v>
      </c>
      <c r="J14" s="30" t="s">
        <v>42</v>
      </c>
      <c r="K14" s="31" t="s">
        <v>42</v>
      </c>
      <c r="L14" s="30" t="s">
        <v>42</v>
      </c>
      <c r="M14" s="31" t="s">
        <v>42</v>
      </c>
      <c r="N14" s="30" t="s">
        <v>42</v>
      </c>
      <c r="O14" s="31" t="s">
        <v>42</v>
      </c>
      <c r="P14" s="30">
        <f>SUM(D14:O15)</f>
        <v>0</v>
      </c>
    </row>
    <row r="15" ht="15.75" customHeight="1">
      <c r="A15" s="27" t="s">
        <v>42</v>
      </c>
      <c r="B15" s="28"/>
      <c r="C15" s="29"/>
      <c r="D15" s="30" t="s">
        <v>42</v>
      </c>
      <c r="E15" s="31" t="s">
        <v>42</v>
      </c>
      <c r="F15" s="30" t="s">
        <v>42</v>
      </c>
      <c r="G15" s="31" t="s">
        <v>42</v>
      </c>
      <c r="H15" s="30" t="s">
        <v>42</v>
      </c>
      <c r="I15" s="31" t="s">
        <v>42</v>
      </c>
      <c r="J15" s="30" t="s">
        <v>42</v>
      </c>
      <c r="K15" s="31" t="s">
        <v>42</v>
      </c>
      <c r="L15" s="30" t="s">
        <v>42</v>
      </c>
      <c r="M15" s="31" t="s">
        <v>42</v>
      </c>
      <c r="N15" s="30" t="s">
        <v>42</v>
      </c>
      <c r="O15" s="31" t="s">
        <v>42</v>
      </c>
      <c r="P15" s="30">
        <f t="shared" ref="P15:P28" si="2">SUM(D15:O15)</f>
        <v>0</v>
      </c>
    </row>
    <row r="16" ht="15.75" customHeight="1">
      <c r="A16" s="27" t="s">
        <v>42</v>
      </c>
      <c r="B16" s="28"/>
      <c r="C16" s="29"/>
      <c r="D16" s="30" t="s">
        <v>42</v>
      </c>
      <c r="E16" s="31" t="s">
        <v>42</v>
      </c>
      <c r="F16" s="30" t="s">
        <v>42</v>
      </c>
      <c r="G16" s="31" t="s">
        <v>42</v>
      </c>
      <c r="H16" s="30" t="s">
        <v>42</v>
      </c>
      <c r="I16" s="31" t="s">
        <v>42</v>
      </c>
      <c r="J16" s="30" t="s">
        <v>42</v>
      </c>
      <c r="K16" s="31" t="s">
        <v>42</v>
      </c>
      <c r="L16" s="30" t="s">
        <v>42</v>
      </c>
      <c r="M16" s="31" t="s">
        <v>42</v>
      </c>
      <c r="N16" s="30" t="s">
        <v>42</v>
      </c>
      <c r="O16" s="31" t="s">
        <v>42</v>
      </c>
      <c r="P16" s="30">
        <f t="shared" si="2"/>
        <v>0</v>
      </c>
    </row>
    <row r="17" ht="15.75" customHeight="1">
      <c r="A17" s="27" t="s">
        <v>42</v>
      </c>
      <c r="B17" s="28"/>
      <c r="C17" s="29"/>
      <c r="D17" s="30" t="s">
        <v>42</v>
      </c>
      <c r="E17" s="31" t="s">
        <v>42</v>
      </c>
      <c r="F17" s="30" t="s">
        <v>42</v>
      </c>
      <c r="G17" s="31" t="s">
        <v>42</v>
      </c>
      <c r="H17" s="30" t="s">
        <v>42</v>
      </c>
      <c r="I17" s="31" t="s">
        <v>42</v>
      </c>
      <c r="J17" s="30" t="s">
        <v>42</v>
      </c>
      <c r="K17" s="31" t="s">
        <v>42</v>
      </c>
      <c r="L17" s="30" t="s">
        <v>42</v>
      </c>
      <c r="M17" s="31" t="s">
        <v>42</v>
      </c>
      <c r="N17" s="30" t="s">
        <v>42</v>
      </c>
      <c r="O17" s="31" t="s">
        <v>42</v>
      </c>
      <c r="P17" s="30">
        <f t="shared" si="2"/>
        <v>0</v>
      </c>
    </row>
    <row r="18" ht="15.75" customHeight="1">
      <c r="A18" s="27" t="s">
        <v>42</v>
      </c>
      <c r="B18" s="28"/>
      <c r="C18" s="29"/>
      <c r="D18" s="30" t="s">
        <v>42</v>
      </c>
      <c r="E18" s="31" t="s">
        <v>42</v>
      </c>
      <c r="F18" s="30" t="s">
        <v>42</v>
      </c>
      <c r="G18" s="31" t="s">
        <v>42</v>
      </c>
      <c r="H18" s="30" t="s">
        <v>42</v>
      </c>
      <c r="I18" s="31" t="s">
        <v>42</v>
      </c>
      <c r="J18" s="30" t="s">
        <v>42</v>
      </c>
      <c r="K18" s="31" t="s">
        <v>42</v>
      </c>
      <c r="L18" s="30" t="s">
        <v>42</v>
      </c>
      <c r="M18" s="31" t="s">
        <v>42</v>
      </c>
      <c r="N18" s="30" t="s">
        <v>42</v>
      </c>
      <c r="O18" s="31" t="s">
        <v>42</v>
      </c>
      <c r="P18" s="30">
        <f t="shared" si="2"/>
        <v>0</v>
      </c>
    </row>
    <row r="19" ht="15.75" customHeight="1">
      <c r="A19" s="27" t="s">
        <v>42</v>
      </c>
      <c r="B19" s="28"/>
      <c r="C19" s="29"/>
      <c r="D19" s="30" t="s">
        <v>42</v>
      </c>
      <c r="E19" s="31" t="s">
        <v>42</v>
      </c>
      <c r="F19" s="30" t="s">
        <v>42</v>
      </c>
      <c r="G19" s="31" t="s">
        <v>42</v>
      </c>
      <c r="H19" s="30" t="s">
        <v>42</v>
      </c>
      <c r="I19" s="31" t="s">
        <v>42</v>
      </c>
      <c r="J19" s="30" t="s">
        <v>42</v>
      </c>
      <c r="K19" s="31" t="s">
        <v>42</v>
      </c>
      <c r="L19" s="30" t="s">
        <v>42</v>
      </c>
      <c r="M19" s="31" t="s">
        <v>42</v>
      </c>
      <c r="N19" s="30" t="s">
        <v>42</v>
      </c>
      <c r="O19" s="31" t="s">
        <v>42</v>
      </c>
      <c r="P19" s="30">
        <f t="shared" si="2"/>
        <v>0</v>
      </c>
    </row>
    <row r="20" ht="15.75" customHeight="1">
      <c r="A20" s="27" t="s">
        <v>42</v>
      </c>
      <c r="B20" s="28"/>
      <c r="C20" s="29"/>
      <c r="D20" s="30" t="s">
        <v>42</v>
      </c>
      <c r="E20" s="31" t="s">
        <v>42</v>
      </c>
      <c r="F20" s="30" t="s">
        <v>42</v>
      </c>
      <c r="G20" s="31" t="s">
        <v>42</v>
      </c>
      <c r="H20" s="30" t="s">
        <v>42</v>
      </c>
      <c r="I20" s="31" t="s">
        <v>42</v>
      </c>
      <c r="J20" s="30" t="s">
        <v>42</v>
      </c>
      <c r="K20" s="31" t="s">
        <v>42</v>
      </c>
      <c r="L20" s="30" t="s">
        <v>42</v>
      </c>
      <c r="M20" s="31" t="s">
        <v>42</v>
      </c>
      <c r="N20" s="30" t="s">
        <v>42</v>
      </c>
      <c r="O20" s="31" t="s">
        <v>42</v>
      </c>
      <c r="P20" s="30">
        <f t="shared" si="2"/>
        <v>0</v>
      </c>
    </row>
    <row r="21" ht="15.75" customHeight="1">
      <c r="A21" s="27" t="s">
        <v>42</v>
      </c>
      <c r="B21" s="28"/>
      <c r="C21" s="29"/>
      <c r="D21" s="30" t="s">
        <v>42</v>
      </c>
      <c r="E21" s="31" t="s">
        <v>42</v>
      </c>
      <c r="F21" s="30" t="s">
        <v>42</v>
      </c>
      <c r="G21" s="31" t="s">
        <v>42</v>
      </c>
      <c r="H21" s="30" t="s">
        <v>42</v>
      </c>
      <c r="I21" s="31" t="s">
        <v>42</v>
      </c>
      <c r="J21" s="30" t="s">
        <v>42</v>
      </c>
      <c r="K21" s="31" t="s">
        <v>42</v>
      </c>
      <c r="L21" s="30" t="s">
        <v>42</v>
      </c>
      <c r="M21" s="31" t="s">
        <v>42</v>
      </c>
      <c r="N21" s="30" t="s">
        <v>42</v>
      </c>
      <c r="O21" s="31" t="s">
        <v>42</v>
      </c>
      <c r="P21" s="30">
        <f t="shared" si="2"/>
        <v>0</v>
      </c>
    </row>
    <row r="22" ht="15.75" customHeight="1">
      <c r="A22" s="32" t="s">
        <v>32</v>
      </c>
      <c r="B22" s="33"/>
      <c r="C22" s="33"/>
      <c r="D22" s="34" t="s">
        <v>42</v>
      </c>
      <c r="E22" s="35" t="s">
        <v>42</v>
      </c>
      <c r="F22" s="34" t="s">
        <v>42</v>
      </c>
      <c r="G22" s="35" t="s">
        <v>42</v>
      </c>
      <c r="H22" s="34" t="s">
        <v>42</v>
      </c>
      <c r="I22" s="35" t="s">
        <v>42</v>
      </c>
      <c r="J22" s="34" t="s">
        <v>42</v>
      </c>
      <c r="K22" s="35" t="s">
        <v>42</v>
      </c>
      <c r="L22" s="34" t="s">
        <v>42</v>
      </c>
      <c r="M22" s="35" t="s">
        <v>42</v>
      </c>
      <c r="N22" s="34" t="s">
        <v>42</v>
      </c>
      <c r="O22" s="35" t="s">
        <v>42</v>
      </c>
      <c r="P22" s="34">
        <f t="shared" si="2"/>
        <v>0</v>
      </c>
    </row>
    <row r="23" ht="15.75" customHeight="1">
      <c r="A23" s="32" t="s">
        <v>43</v>
      </c>
      <c r="B23" s="33"/>
      <c r="C23" s="33"/>
      <c r="D23" s="34" t="s">
        <v>42</v>
      </c>
      <c r="E23" s="35" t="s">
        <v>42</v>
      </c>
      <c r="F23" s="34" t="s">
        <v>42</v>
      </c>
      <c r="G23" s="35" t="s">
        <v>42</v>
      </c>
      <c r="H23" s="34" t="s">
        <v>42</v>
      </c>
      <c r="I23" s="35" t="s">
        <v>42</v>
      </c>
      <c r="J23" s="34" t="s">
        <v>42</v>
      </c>
      <c r="K23" s="35" t="s">
        <v>42</v>
      </c>
      <c r="L23" s="34" t="s">
        <v>42</v>
      </c>
      <c r="M23" s="35" t="s">
        <v>42</v>
      </c>
      <c r="N23" s="34" t="s">
        <v>42</v>
      </c>
      <c r="O23" s="35" t="s">
        <v>42</v>
      </c>
      <c r="P23" s="34">
        <f t="shared" si="2"/>
        <v>0</v>
      </c>
    </row>
    <row r="24" ht="15.75" customHeight="1">
      <c r="A24" s="32" t="s">
        <v>44</v>
      </c>
      <c r="B24" s="33"/>
      <c r="C24" s="33"/>
      <c r="D24" s="34" t="s">
        <v>42</v>
      </c>
      <c r="E24" s="35" t="s">
        <v>42</v>
      </c>
      <c r="F24" s="34" t="s">
        <v>42</v>
      </c>
      <c r="G24" s="35" t="s">
        <v>42</v>
      </c>
      <c r="H24" s="34" t="s">
        <v>42</v>
      </c>
      <c r="I24" s="35" t="s">
        <v>42</v>
      </c>
      <c r="J24" s="34" t="s">
        <v>42</v>
      </c>
      <c r="K24" s="35" t="s">
        <v>42</v>
      </c>
      <c r="L24" s="34" t="s">
        <v>42</v>
      </c>
      <c r="M24" s="35" t="s">
        <v>42</v>
      </c>
      <c r="N24" s="34" t="s">
        <v>42</v>
      </c>
      <c r="O24" s="35" t="s">
        <v>42</v>
      </c>
      <c r="P24" s="34">
        <f t="shared" si="2"/>
        <v>0</v>
      </c>
    </row>
    <row r="25" ht="15.75" customHeight="1">
      <c r="A25" s="32" t="s">
        <v>35</v>
      </c>
      <c r="B25" s="27"/>
      <c r="C25" s="27"/>
      <c r="D25" s="36">
        <f t="shared" ref="D25:O25" si="3">SUM(D2:D21)</f>
        <v>0</v>
      </c>
      <c r="E25" s="36">
        <f t="shared" si="3"/>
        <v>0</v>
      </c>
      <c r="F25" s="36">
        <f t="shared" si="3"/>
        <v>0</v>
      </c>
      <c r="G25" s="36">
        <f t="shared" si="3"/>
        <v>0</v>
      </c>
      <c r="H25" s="36">
        <f t="shared" si="3"/>
        <v>0</v>
      </c>
      <c r="I25" s="36">
        <f t="shared" si="3"/>
        <v>0</v>
      </c>
      <c r="J25" s="36">
        <f t="shared" si="3"/>
        <v>0</v>
      </c>
      <c r="K25" s="36">
        <f t="shared" si="3"/>
        <v>0</v>
      </c>
      <c r="L25" s="36">
        <f t="shared" si="3"/>
        <v>0</v>
      </c>
      <c r="M25" s="36">
        <f t="shared" si="3"/>
        <v>0</v>
      </c>
      <c r="N25" s="36">
        <f t="shared" si="3"/>
        <v>0</v>
      </c>
      <c r="O25" s="36">
        <f t="shared" si="3"/>
        <v>0</v>
      </c>
      <c r="P25" s="36">
        <f t="shared" si="2"/>
        <v>0</v>
      </c>
    </row>
    <row r="26" ht="15.75" customHeight="1">
      <c r="A26" s="32" t="s">
        <v>36</v>
      </c>
      <c r="B26" s="27"/>
      <c r="C26" s="27"/>
      <c r="D26" s="36">
        <f t="shared" ref="D26:O26" si="4">SUM(D22:D24)</f>
        <v>0</v>
      </c>
      <c r="E26" s="36">
        <f t="shared" si="4"/>
        <v>0</v>
      </c>
      <c r="F26" s="36">
        <f t="shared" si="4"/>
        <v>0</v>
      </c>
      <c r="G26" s="36">
        <f t="shared" si="4"/>
        <v>0</v>
      </c>
      <c r="H26" s="36">
        <f t="shared" si="4"/>
        <v>0</v>
      </c>
      <c r="I26" s="36">
        <f t="shared" si="4"/>
        <v>0</v>
      </c>
      <c r="J26" s="36">
        <f t="shared" si="4"/>
        <v>0</v>
      </c>
      <c r="K26" s="36">
        <f t="shared" si="4"/>
        <v>0</v>
      </c>
      <c r="L26" s="36">
        <f t="shared" si="4"/>
        <v>0</v>
      </c>
      <c r="M26" s="36">
        <f t="shared" si="4"/>
        <v>0</v>
      </c>
      <c r="N26" s="36">
        <f t="shared" si="4"/>
        <v>0</v>
      </c>
      <c r="O26" s="36">
        <f t="shared" si="4"/>
        <v>0</v>
      </c>
      <c r="P26" s="36">
        <f t="shared" si="2"/>
        <v>0</v>
      </c>
    </row>
    <row r="27" ht="15.75" customHeight="1">
      <c r="A27" s="32" t="s">
        <v>37</v>
      </c>
      <c r="B27" s="27"/>
      <c r="C27" s="27"/>
      <c r="D27" s="36">
        <f t="shared" ref="D27:O27" si="5">SUM(D26-D25)</f>
        <v>0</v>
      </c>
      <c r="E27" s="36">
        <f t="shared" si="5"/>
        <v>0</v>
      </c>
      <c r="F27" s="36">
        <f t="shared" si="5"/>
        <v>0</v>
      </c>
      <c r="G27" s="36">
        <f t="shared" si="5"/>
        <v>0</v>
      </c>
      <c r="H27" s="36">
        <f t="shared" si="5"/>
        <v>0</v>
      </c>
      <c r="I27" s="36">
        <f t="shared" si="5"/>
        <v>0</v>
      </c>
      <c r="J27" s="36">
        <f t="shared" si="5"/>
        <v>0</v>
      </c>
      <c r="K27" s="36">
        <f t="shared" si="5"/>
        <v>0</v>
      </c>
      <c r="L27" s="36">
        <f t="shared" si="5"/>
        <v>0</v>
      </c>
      <c r="M27" s="36">
        <f t="shared" si="5"/>
        <v>0</v>
      </c>
      <c r="N27" s="36">
        <f t="shared" si="5"/>
        <v>0</v>
      </c>
      <c r="O27" s="36">
        <f t="shared" si="5"/>
        <v>0</v>
      </c>
      <c r="P27" s="36">
        <f t="shared" si="2"/>
        <v>0</v>
      </c>
    </row>
    <row r="28" ht="15.75" customHeight="1">
      <c r="A28" s="32" t="s">
        <v>38</v>
      </c>
      <c r="B28" s="27"/>
      <c r="C28" s="27"/>
      <c r="D28" s="36">
        <v>0.0</v>
      </c>
      <c r="E28" s="36">
        <v>0.0</v>
      </c>
      <c r="F28" s="36">
        <v>0.0</v>
      </c>
      <c r="G28" s="36">
        <v>0.0</v>
      </c>
      <c r="H28" s="36">
        <v>0.0</v>
      </c>
      <c r="I28" s="36">
        <v>0.0</v>
      </c>
      <c r="J28" s="36">
        <v>0.0</v>
      </c>
      <c r="K28" s="36">
        <v>0.0</v>
      </c>
      <c r="L28" s="36">
        <v>0.0</v>
      </c>
      <c r="M28" s="36">
        <v>0.0</v>
      </c>
      <c r="N28" s="36">
        <v>0.0</v>
      </c>
      <c r="O28" s="36">
        <v>0.0</v>
      </c>
      <c r="P28" s="36">
        <f t="shared" si="2"/>
        <v>0</v>
      </c>
    </row>
    <row r="29" ht="15.75" customHeight="1">
      <c r="A29" s="32" t="s">
        <v>39</v>
      </c>
      <c r="B29" s="27"/>
      <c r="C29" s="27"/>
      <c r="D29" s="36">
        <f t="shared" ref="D29:P29" si="6">SUM(D27-D28)</f>
        <v>0</v>
      </c>
      <c r="E29" s="36">
        <f t="shared" si="6"/>
        <v>0</v>
      </c>
      <c r="F29" s="36">
        <f t="shared" si="6"/>
        <v>0</v>
      </c>
      <c r="G29" s="36">
        <f t="shared" si="6"/>
        <v>0</v>
      </c>
      <c r="H29" s="36">
        <f t="shared" si="6"/>
        <v>0</v>
      </c>
      <c r="I29" s="36">
        <f t="shared" si="6"/>
        <v>0</v>
      </c>
      <c r="J29" s="36">
        <f t="shared" si="6"/>
        <v>0</v>
      </c>
      <c r="K29" s="36">
        <f t="shared" si="6"/>
        <v>0</v>
      </c>
      <c r="L29" s="36">
        <f t="shared" si="6"/>
        <v>0</v>
      </c>
      <c r="M29" s="36">
        <f t="shared" si="6"/>
        <v>0</v>
      </c>
      <c r="N29" s="36">
        <f t="shared" si="6"/>
        <v>0</v>
      </c>
      <c r="O29" s="36">
        <f t="shared" si="6"/>
        <v>0</v>
      </c>
      <c r="P29" s="36">
        <f t="shared" si="6"/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C24">
      <formula1>"1,2,3,4,5,6,7,8,9,10,11,12,13,14,15,16,17,18,19,20,21,22,23,24,25,26,27,28,29,30,31"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25.5"/>
    <col customWidth="1" min="3" max="5" width="25.13"/>
  </cols>
  <sheetData>
    <row r="1" ht="15.75" customHeight="1">
      <c r="A1" s="24" t="s">
        <v>40</v>
      </c>
      <c r="B1" s="26" t="s">
        <v>41</v>
      </c>
      <c r="C1" s="37" t="s">
        <v>4</v>
      </c>
      <c r="D1" s="37" t="s">
        <v>5</v>
      </c>
      <c r="E1" s="26" t="s">
        <v>14</v>
      </c>
    </row>
    <row r="2" ht="15.75" customHeight="1">
      <c r="A2" s="38" t="s">
        <v>45</v>
      </c>
      <c r="B2" s="39">
        <v>5.0E8</v>
      </c>
      <c r="C2" s="39" t="s">
        <v>42</v>
      </c>
      <c r="D2" s="39" t="s">
        <v>42</v>
      </c>
      <c r="E2" s="30">
        <f t="shared" ref="E2:E4" si="1">SUM(B2:D2)</f>
        <v>500000000</v>
      </c>
    </row>
    <row r="3" ht="15.75" customHeight="1">
      <c r="A3" s="38" t="s">
        <v>46</v>
      </c>
      <c r="B3" s="39" t="s">
        <v>42</v>
      </c>
      <c r="C3" s="39">
        <v>1.0E8</v>
      </c>
      <c r="D3" s="39" t="s">
        <v>42</v>
      </c>
      <c r="E3" s="30">
        <f t="shared" si="1"/>
        <v>100000000</v>
      </c>
    </row>
    <row r="4" ht="15.75" customHeight="1">
      <c r="A4" s="38" t="s">
        <v>47</v>
      </c>
      <c r="B4" s="39" t="s">
        <v>42</v>
      </c>
      <c r="C4" s="39" t="s">
        <v>42</v>
      </c>
      <c r="D4" s="39">
        <v>2.0E8</v>
      </c>
      <c r="E4" s="30">
        <f t="shared" si="1"/>
        <v>200000000</v>
      </c>
    </row>
    <row r="5" ht="15.75" customHeight="1">
      <c r="A5" s="38"/>
      <c r="B5" s="39" t="s">
        <v>42</v>
      </c>
      <c r="C5" s="30"/>
      <c r="D5" s="30"/>
      <c r="E5" s="30">
        <f t="shared" ref="E5:E13" si="2">SUM(B5)</f>
        <v>0</v>
      </c>
    </row>
    <row r="6" ht="15.75" customHeight="1">
      <c r="A6" s="27" t="s">
        <v>42</v>
      </c>
      <c r="B6" s="30" t="s">
        <v>42</v>
      </c>
      <c r="C6" s="30"/>
      <c r="D6" s="30"/>
      <c r="E6" s="30">
        <f t="shared" si="2"/>
        <v>0</v>
      </c>
    </row>
    <row r="7" ht="15.75" customHeight="1">
      <c r="A7" s="27" t="s">
        <v>42</v>
      </c>
      <c r="B7" s="30" t="s">
        <v>42</v>
      </c>
      <c r="C7" s="30"/>
      <c r="D7" s="30"/>
      <c r="E7" s="30">
        <f t="shared" si="2"/>
        <v>0</v>
      </c>
    </row>
    <row r="8" ht="15.75" customHeight="1">
      <c r="A8" s="27" t="s">
        <v>42</v>
      </c>
      <c r="B8" s="30" t="s">
        <v>42</v>
      </c>
      <c r="C8" s="30"/>
      <c r="D8" s="30"/>
      <c r="E8" s="30">
        <f t="shared" si="2"/>
        <v>0</v>
      </c>
    </row>
    <row r="9" ht="15.75" customHeight="1">
      <c r="A9" s="27" t="s">
        <v>42</v>
      </c>
      <c r="B9" s="30" t="s">
        <v>42</v>
      </c>
      <c r="C9" s="30"/>
      <c r="D9" s="30"/>
      <c r="E9" s="30">
        <f t="shared" si="2"/>
        <v>0</v>
      </c>
    </row>
    <row r="10" ht="15.75" customHeight="1">
      <c r="A10" s="27" t="s">
        <v>42</v>
      </c>
      <c r="B10" s="30" t="s">
        <v>42</v>
      </c>
      <c r="C10" s="30"/>
      <c r="D10" s="30"/>
      <c r="E10" s="30">
        <f t="shared" si="2"/>
        <v>0</v>
      </c>
      <c r="G10" s="40">
        <v>2.348143408528E12</v>
      </c>
    </row>
    <row r="11" ht="15.75" customHeight="1">
      <c r="A11" s="27" t="s">
        <v>42</v>
      </c>
      <c r="B11" s="30" t="s">
        <v>42</v>
      </c>
      <c r="C11" s="30"/>
      <c r="D11" s="30"/>
      <c r="E11" s="30">
        <f t="shared" si="2"/>
        <v>0</v>
      </c>
    </row>
    <row r="12" ht="15.75" customHeight="1">
      <c r="A12" s="27" t="s">
        <v>42</v>
      </c>
      <c r="B12" s="30" t="s">
        <v>42</v>
      </c>
      <c r="C12" s="30"/>
      <c r="D12" s="30"/>
      <c r="E12" s="30">
        <f t="shared" si="2"/>
        <v>0</v>
      </c>
    </row>
    <row r="13" ht="15.75" customHeight="1">
      <c r="A13" s="27" t="s">
        <v>42</v>
      </c>
      <c r="B13" s="30" t="s">
        <v>42</v>
      </c>
      <c r="C13" s="30"/>
      <c r="D13" s="30"/>
      <c r="E13" s="30">
        <f t="shared" si="2"/>
        <v>0</v>
      </c>
    </row>
    <row r="14" ht="15.75" customHeight="1">
      <c r="A14" s="27" t="s">
        <v>42</v>
      </c>
      <c r="B14" s="30" t="s">
        <v>42</v>
      </c>
      <c r="C14" s="30"/>
      <c r="D14" s="30"/>
      <c r="E14" s="30">
        <f>SUM(B14:B15)</f>
        <v>0</v>
      </c>
    </row>
    <row r="15" ht="15.75" customHeight="1">
      <c r="A15" s="27" t="s">
        <v>42</v>
      </c>
      <c r="B15" s="30" t="s">
        <v>42</v>
      </c>
      <c r="C15" s="30"/>
      <c r="D15" s="30"/>
      <c r="E15" s="30">
        <f t="shared" ref="E15:E21" si="3">SUM(B15)</f>
        <v>0</v>
      </c>
    </row>
    <row r="16" ht="15.75" customHeight="1">
      <c r="A16" s="27" t="s">
        <v>42</v>
      </c>
      <c r="B16" s="30" t="s">
        <v>42</v>
      </c>
      <c r="C16" s="30"/>
      <c r="D16" s="30"/>
      <c r="E16" s="30">
        <f t="shared" si="3"/>
        <v>0</v>
      </c>
    </row>
    <row r="17" ht="15.75" customHeight="1">
      <c r="A17" s="27" t="s">
        <v>42</v>
      </c>
      <c r="B17" s="30" t="s">
        <v>42</v>
      </c>
      <c r="C17" s="30"/>
      <c r="D17" s="30"/>
      <c r="E17" s="30">
        <f t="shared" si="3"/>
        <v>0</v>
      </c>
    </row>
    <row r="18" ht="15.75" customHeight="1">
      <c r="A18" s="27" t="s">
        <v>42</v>
      </c>
      <c r="B18" s="30" t="s">
        <v>42</v>
      </c>
      <c r="C18" s="30"/>
      <c r="D18" s="30"/>
      <c r="E18" s="30">
        <f t="shared" si="3"/>
        <v>0</v>
      </c>
    </row>
    <row r="19" ht="15.75" customHeight="1">
      <c r="A19" s="27" t="s">
        <v>42</v>
      </c>
      <c r="B19" s="30" t="s">
        <v>42</v>
      </c>
      <c r="C19" s="30"/>
      <c r="D19" s="30"/>
      <c r="E19" s="30">
        <f t="shared" si="3"/>
        <v>0</v>
      </c>
    </row>
    <row r="20" ht="15.75" customHeight="1">
      <c r="A20" s="27" t="s">
        <v>42</v>
      </c>
      <c r="B20" s="30" t="s">
        <v>42</v>
      </c>
      <c r="C20" s="30"/>
      <c r="D20" s="30"/>
      <c r="E20" s="30">
        <f t="shared" si="3"/>
        <v>0</v>
      </c>
    </row>
    <row r="21" ht="15.75" customHeight="1">
      <c r="A21" s="27" t="s">
        <v>42</v>
      </c>
      <c r="B21" s="30" t="s">
        <v>42</v>
      </c>
      <c r="C21" s="30"/>
      <c r="D21" s="30"/>
      <c r="E21" s="30">
        <f t="shared" si="3"/>
        <v>0</v>
      </c>
    </row>
    <row r="22" ht="15.75" customHeight="1">
      <c r="A22" s="32" t="s">
        <v>35</v>
      </c>
      <c r="B22" s="36">
        <f>SUM(B2:B21)</f>
        <v>500000000</v>
      </c>
      <c r="C22" s="36"/>
      <c r="D22" s="36"/>
      <c r="E22" s="36">
        <f>SUM(E2:E21)</f>
        <v>800000000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13"/>
    <col customWidth="1" min="2" max="2" width="23.25"/>
    <col customWidth="1" min="3" max="3" width="25.63"/>
    <col customWidth="1" min="4" max="4" width="17.25"/>
  </cols>
  <sheetData>
    <row r="1" ht="15.75" customHeight="1">
      <c r="A1" s="1" t="s">
        <v>0</v>
      </c>
      <c r="B1" s="1" t="s">
        <v>48</v>
      </c>
      <c r="C1" s="1" t="s">
        <v>49</v>
      </c>
      <c r="D1" s="1" t="s">
        <v>50</v>
      </c>
      <c r="E1" s="41"/>
    </row>
    <row r="2" ht="15.75" customHeight="1">
      <c r="A2" s="13"/>
      <c r="B2" s="42"/>
      <c r="C2" s="12"/>
      <c r="D2" s="12"/>
      <c r="E2" s="41"/>
    </row>
    <row r="3" ht="15.75" customHeight="1">
      <c r="A3" s="13"/>
      <c r="B3" s="43"/>
      <c r="C3" s="12"/>
      <c r="D3" s="12"/>
      <c r="E3" s="41"/>
    </row>
    <row r="4" ht="15.75" customHeight="1">
      <c r="A4" s="13"/>
      <c r="B4" s="44"/>
      <c r="C4" s="12"/>
      <c r="D4" s="12"/>
      <c r="E4" s="41"/>
    </row>
    <row r="5" ht="15.75" customHeight="1">
      <c r="A5" s="13"/>
      <c r="B5" s="44"/>
      <c r="C5" s="12"/>
      <c r="D5" s="12"/>
      <c r="E5" s="41"/>
    </row>
    <row r="6" ht="15.75" customHeight="1">
      <c r="A6" s="13"/>
      <c r="B6" s="44"/>
      <c r="C6" s="12"/>
      <c r="D6" s="12"/>
      <c r="E6" s="41"/>
    </row>
    <row r="7" ht="15.75" customHeight="1">
      <c r="A7" s="13"/>
      <c r="B7" s="43"/>
      <c r="C7" s="12"/>
      <c r="D7" s="12"/>
      <c r="E7" s="41"/>
    </row>
    <row r="8" ht="15.75" customHeight="1">
      <c r="A8" s="13"/>
      <c r="B8" s="43"/>
      <c r="C8" s="12"/>
      <c r="D8" s="12"/>
      <c r="E8" s="41"/>
    </row>
    <row r="9" ht="15.75" customHeight="1">
      <c r="A9" s="13"/>
      <c r="B9" s="43"/>
      <c r="C9" s="12"/>
      <c r="D9" s="12"/>
      <c r="E9" s="41"/>
    </row>
    <row r="10" ht="15.75" customHeight="1">
      <c r="A10" s="13"/>
      <c r="B10" s="43"/>
      <c r="C10" s="12"/>
      <c r="D10" s="12"/>
      <c r="E10" s="41"/>
    </row>
    <row r="11" ht="15.75" customHeight="1">
      <c r="A11" s="13"/>
      <c r="B11" s="43"/>
      <c r="C11" s="12"/>
      <c r="D11" s="12"/>
      <c r="E11" s="41"/>
    </row>
    <row r="12" ht="15.75" customHeight="1">
      <c r="A12" s="13"/>
      <c r="B12" s="44"/>
      <c r="C12" s="12"/>
      <c r="D12" s="12"/>
      <c r="E12" s="41"/>
    </row>
    <row r="13" ht="15.75" customHeight="1">
      <c r="A13" s="13"/>
      <c r="B13" s="44"/>
      <c r="C13" s="12"/>
      <c r="D13" s="12"/>
      <c r="E13" s="41"/>
    </row>
    <row r="14" ht="15.75" customHeight="1">
      <c r="A14" s="13"/>
      <c r="B14" s="44"/>
      <c r="C14" s="12"/>
      <c r="D14" s="12"/>
      <c r="E14" s="41"/>
    </row>
    <row r="15" ht="15.75" customHeight="1">
      <c r="A15" s="13"/>
      <c r="B15" s="44"/>
      <c r="C15" s="12"/>
      <c r="D15" s="12"/>
      <c r="E15" s="41"/>
    </row>
    <row r="16" ht="15.75" customHeight="1">
      <c r="A16" s="13"/>
      <c r="B16" s="44"/>
      <c r="C16" s="12"/>
      <c r="D16" s="12"/>
      <c r="E16" s="41"/>
    </row>
    <row r="17" ht="15.75" customHeight="1">
      <c r="A17" s="13"/>
      <c r="B17" s="44"/>
      <c r="C17" s="12"/>
      <c r="D17" s="12"/>
      <c r="E17" s="41"/>
    </row>
    <row r="18" ht="15.75" customHeight="1">
      <c r="A18" s="13"/>
      <c r="B18" s="44"/>
      <c r="C18" s="12"/>
      <c r="D18" s="12"/>
      <c r="E18" s="41"/>
    </row>
    <row r="19" ht="15.75" customHeight="1">
      <c r="A19" s="13"/>
      <c r="B19" s="44"/>
      <c r="C19" s="12"/>
      <c r="D19" s="12"/>
      <c r="E19" s="41"/>
    </row>
    <row r="20" ht="15.75" customHeight="1">
      <c r="A20" s="13"/>
      <c r="B20" s="44"/>
      <c r="C20" s="12"/>
      <c r="D20" s="12"/>
      <c r="E20" s="41"/>
    </row>
    <row r="21" ht="15.75" customHeight="1">
      <c r="A21" s="13"/>
      <c r="B21" s="44"/>
      <c r="C21" s="12"/>
      <c r="D21" s="12"/>
      <c r="E21" s="41"/>
    </row>
    <row r="22" ht="15.75" customHeight="1">
      <c r="A22" s="13"/>
      <c r="B22" s="44"/>
      <c r="C22" s="12"/>
      <c r="D22" s="12"/>
      <c r="E22" s="41"/>
    </row>
    <row r="23" ht="15.75" customHeight="1">
      <c r="A23" s="13"/>
      <c r="B23" s="44"/>
      <c r="C23" s="12"/>
      <c r="D23" s="12"/>
      <c r="E23" s="41"/>
    </row>
    <row r="24" ht="15.75" customHeight="1">
      <c r="A24" s="13"/>
      <c r="B24" s="44"/>
      <c r="C24" s="12"/>
      <c r="D24" s="12"/>
      <c r="E24" s="41"/>
    </row>
    <row r="25" ht="15.75" customHeight="1">
      <c r="A25" s="13"/>
      <c r="B25" s="43"/>
      <c r="C25" s="12"/>
      <c r="D25" s="12"/>
      <c r="E25" s="41"/>
    </row>
    <row r="26" ht="15.75" customHeight="1">
      <c r="A26" s="23"/>
      <c r="B26" s="45"/>
      <c r="C26" s="9"/>
      <c r="D26" s="12"/>
      <c r="E26" s="41"/>
    </row>
    <row r="27" ht="15.75" customHeight="1">
      <c r="A27" s="23"/>
      <c r="B27" s="45"/>
      <c r="C27" s="9"/>
      <c r="D27" s="12"/>
      <c r="E27" s="41"/>
    </row>
    <row r="28" ht="15.75" customHeight="1">
      <c r="A28" s="23"/>
      <c r="B28" s="45"/>
      <c r="C28" s="9"/>
      <c r="D28" s="12"/>
      <c r="E28" s="41"/>
    </row>
    <row r="29" ht="15.75" customHeight="1">
      <c r="A29" s="23"/>
      <c r="B29" s="45"/>
      <c r="C29" s="9"/>
      <c r="D29" s="12"/>
      <c r="E29" s="41"/>
    </row>
    <row r="30" ht="15.75" customHeight="1">
      <c r="A30" s="23"/>
      <c r="B30" s="43"/>
      <c r="C30" s="12"/>
      <c r="D30" s="12"/>
      <c r="E30" s="41"/>
    </row>
    <row r="31" ht="15.75" customHeight="1">
      <c r="A31" s="13"/>
      <c r="B31" s="43"/>
      <c r="C31" s="12"/>
      <c r="D31" s="12"/>
      <c r="E31" s="41"/>
    </row>
    <row r="32" ht="15.75" customHeight="1">
      <c r="A32" s="13"/>
      <c r="B32" s="43"/>
      <c r="C32" s="12"/>
      <c r="D32" s="12"/>
      <c r="E32" s="41"/>
    </row>
    <row r="33" ht="15.75" customHeight="1">
      <c r="A33" s="13"/>
      <c r="B33" s="45"/>
      <c r="C33" s="12"/>
      <c r="D33" s="12"/>
      <c r="E33" s="41"/>
    </row>
    <row r="34" ht="15.75" customHeight="1">
      <c r="A34" s="13"/>
      <c r="B34" s="45"/>
      <c r="C34" s="12"/>
      <c r="D34" s="12"/>
      <c r="E34" s="41"/>
    </row>
    <row r="35" ht="15.75" customHeight="1">
      <c r="A35" s="23"/>
      <c r="B35" s="45"/>
      <c r="C35" s="9"/>
      <c r="D35" s="12"/>
      <c r="E35" s="41"/>
    </row>
    <row r="36" ht="15.75" customHeight="1">
      <c r="A36" s="23"/>
      <c r="B36" s="45"/>
      <c r="C36" s="9"/>
      <c r="D36" s="12"/>
      <c r="E36" s="41"/>
    </row>
    <row r="37" ht="15.75" customHeight="1">
      <c r="A37" s="23"/>
      <c r="B37" s="45"/>
      <c r="C37" s="9"/>
      <c r="D37" s="12"/>
      <c r="E37" s="41"/>
    </row>
    <row r="38" ht="15.75" customHeight="1">
      <c r="A38" s="23"/>
      <c r="B38" s="45"/>
      <c r="C38" s="9"/>
      <c r="D38" s="12"/>
      <c r="E38" s="41"/>
    </row>
    <row r="39" ht="15.75" customHeight="1">
      <c r="A39" s="23"/>
      <c r="B39" s="45"/>
      <c r="C39" s="9"/>
      <c r="D39" s="12"/>
      <c r="E39" s="41"/>
    </row>
    <row r="40" ht="15.75" customHeight="1">
      <c r="A40" s="13"/>
      <c r="B40" s="44"/>
      <c r="C40" s="12"/>
      <c r="D40" s="12"/>
      <c r="E40" s="41"/>
    </row>
    <row r="41" ht="15.75" customHeight="1">
      <c r="A41" s="13"/>
      <c r="B41" s="44"/>
      <c r="C41" s="12"/>
      <c r="D41" s="12"/>
      <c r="E41" s="41"/>
    </row>
    <row r="42" ht="15.75" customHeight="1">
      <c r="A42" s="13"/>
      <c r="B42" s="44"/>
      <c r="C42" s="12"/>
      <c r="D42" s="12"/>
      <c r="E42" s="41"/>
    </row>
    <row r="43" ht="15.75" customHeight="1">
      <c r="A43" s="13"/>
      <c r="B43" s="44"/>
      <c r="C43" s="12"/>
      <c r="D43" s="12"/>
      <c r="E43" s="41"/>
    </row>
    <row r="44" ht="15.75" customHeight="1">
      <c r="A44" s="46"/>
      <c r="B44" s="44"/>
      <c r="C44" s="12"/>
      <c r="D44" s="12"/>
      <c r="E44" s="41"/>
    </row>
    <row r="45" ht="15.75" customHeight="1">
      <c r="A45" s="13"/>
      <c r="B45" s="44"/>
      <c r="C45" s="12"/>
      <c r="D45" s="12"/>
      <c r="E45" s="41"/>
    </row>
    <row r="46" ht="15.75" customHeight="1">
      <c r="A46" s="13"/>
      <c r="B46" s="44"/>
      <c r="C46" s="12"/>
      <c r="D46" s="12"/>
      <c r="E46" s="41"/>
    </row>
    <row r="47" ht="15.75" customHeight="1">
      <c r="A47" s="13"/>
      <c r="B47" s="44"/>
      <c r="C47" s="12"/>
      <c r="D47" s="12"/>
      <c r="E47" s="41"/>
    </row>
    <row r="48" ht="15.75" customHeight="1">
      <c r="A48" s="13"/>
      <c r="B48" s="44"/>
      <c r="C48" s="12"/>
      <c r="D48" s="12"/>
      <c r="E48" s="41"/>
    </row>
    <row r="49" ht="15.75" customHeight="1">
      <c r="A49" s="13"/>
      <c r="B49" s="44"/>
      <c r="C49" s="12"/>
      <c r="D49" s="12"/>
      <c r="E49" s="41"/>
    </row>
    <row r="50" ht="15.75" customHeight="1">
      <c r="A50" s="13"/>
      <c r="B50" s="44"/>
      <c r="C50" s="12"/>
      <c r="D50" s="12"/>
      <c r="E50" s="41"/>
    </row>
    <row r="51" ht="15.75" customHeight="1">
      <c r="A51" s="13"/>
      <c r="B51" s="44"/>
      <c r="C51" s="12"/>
      <c r="D51" s="12"/>
      <c r="E51" s="41"/>
    </row>
    <row r="52" ht="15.75" customHeight="1">
      <c r="A52" s="13"/>
      <c r="B52" s="44"/>
      <c r="C52" s="12"/>
      <c r="D52" s="12"/>
      <c r="E52" s="41"/>
    </row>
    <row r="53" ht="15.75" customHeight="1">
      <c r="A53" s="13"/>
      <c r="B53" s="44"/>
      <c r="C53" s="12"/>
      <c r="D53" s="12"/>
      <c r="E53" s="41"/>
    </row>
    <row r="54" ht="15.75" customHeight="1">
      <c r="A54" s="13"/>
      <c r="B54" s="44"/>
      <c r="C54" s="12"/>
      <c r="D54" s="12"/>
      <c r="E54" s="41"/>
    </row>
    <row r="55" ht="15.75" customHeight="1">
      <c r="A55" s="46"/>
      <c r="B55" s="43"/>
      <c r="C55" s="12"/>
      <c r="D55" s="12"/>
      <c r="E55" s="41"/>
    </row>
    <row r="56" ht="15.75" customHeight="1">
      <c r="A56" s="13"/>
      <c r="B56" s="43"/>
      <c r="C56" s="12"/>
      <c r="D56" s="12"/>
      <c r="E56" s="41"/>
    </row>
    <row r="57" ht="15.75" customHeight="1">
      <c r="A57" s="13"/>
      <c r="B57" s="43"/>
      <c r="C57" s="12"/>
      <c r="D57" s="12"/>
      <c r="E57" s="41"/>
    </row>
    <row r="58" ht="15.75" customHeight="1">
      <c r="A58" s="13"/>
      <c r="B58" s="43"/>
      <c r="C58" s="12"/>
      <c r="D58" s="12"/>
      <c r="E58" s="41"/>
    </row>
    <row r="59" ht="15.75" customHeight="1">
      <c r="A59" s="13"/>
      <c r="B59" s="43"/>
      <c r="C59" s="12"/>
      <c r="D59" s="12"/>
      <c r="E59" s="41"/>
    </row>
    <row r="60" ht="15.75" customHeight="1">
      <c r="A60" s="13"/>
      <c r="B60" s="43"/>
      <c r="C60" s="12"/>
      <c r="D60" s="12"/>
      <c r="E60" s="4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dataValidations>
    <dataValidation type="custom" allowBlank="1" showDropDown="1" sqref="C2:C60">
      <formula1>AND(ISNUMBER(C2),(NOT(OR(NOT(ISERROR(DATEVALUE(C2))), AND(ISNUMBER(C2), LEFT(CELL("format", C2))="D")))))</formula1>
    </dataValidation>
    <dataValidation allowBlank="1" showDropDown="1" sqref="B2:B60"/>
  </dataValidations>
  <drawing r:id="rId1"/>
  <tableParts count="1">
    <tablePart r:id="rId3"/>
  </tableParts>
</worksheet>
</file>